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A2121125-C9A4-4D1E-8263-FE44D8F2A6C9}" xr6:coauthVersionLast="47" xr6:coauthVersionMax="47" xr10:uidLastSave="{00000000-0000-0000-0000-000000000000}"/>
  <bookViews>
    <workbookView xWindow="-120" yWindow="-120" windowWidth="20730" windowHeight="11160" xr2:uid="{BC7647CC-5314-462A-A9DF-C0A9DDFA0A2C}"/>
  </bookViews>
  <sheets>
    <sheet name="CLEAN_patient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2" i="1" l="1"/>
  <c r="K101" i="1"/>
  <c r="E101" i="1"/>
  <c r="D101" i="1"/>
  <c r="K100" i="1"/>
  <c r="E100" i="1"/>
  <c r="D100" i="1"/>
  <c r="K99" i="1"/>
  <c r="E99" i="1"/>
  <c r="D99" i="1"/>
  <c r="K98" i="1"/>
  <c r="E98" i="1"/>
  <c r="D98" i="1"/>
  <c r="K97" i="1"/>
  <c r="E97" i="1"/>
  <c r="D97" i="1"/>
  <c r="K96" i="1"/>
  <c r="E96" i="1"/>
  <c r="D96" i="1"/>
  <c r="K95" i="1"/>
  <c r="E95" i="1"/>
  <c r="D95" i="1"/>
  <c r="K94" i="1"/>
  <c r="E94" i="1"/>
  <c r="D94" i="1"/>
  <c r="K93" i="1"/>
  <c r="E93" i="1"/>
  <c r="D93" i="1"/>
  <c r="K92" i="1"/>
  <c r="E92" i="1"/>
  <c r="D92" i="1"/>
  <c r="K91" i="1"/>
  <c r="E91" i="1"/>
  <c r="D91" i="1"/>
  <c r="K90" i="1"/>
  <c r="E90" i="1"/>
  <c r="D90" i="1"/>
  <c r="K89" i="1"/>
  <c r="E89" i="1"/>
  <c r="D89" i="1"/>
  <c r="K88" i="1"/>
  <c r="E88" i="1"/>
  <c r="D88" i="1"/>
  <c r="K87" i="1"/>
  <c r="E87" i="1"/>
  <c r="D87" i="1"/>
  <c r="K86" i="1"/>
  <c r="E86" i="1"/>
  <c r="D86" i="1"/>
  <c r="K85" i="1"/>
  <c r="E85" i="1"/>
  <c r="D85" i="1"/>
  <c r="K84" i="1"/>
  <c r="E84" i="1"/>
  <c r="D84" i="1"/>
  <c r="K83" i="1"/>
  <c r="E83" i="1"/>
  <c r="D83" i="1"/>
  <c r="K82" i="1"/>
  <c r="E82" i="1"/>
  <c r="D82" i="1"/>
  <c r="K81" i="1"/>
  <c r="E81" i="1"/>
  <c r="D81" i="1"/>
  <c r="K80" i="1"/>
  <c r="E80" i="1"/>
  <c r="D80" i="1"/>
  <c r="K79" i="1"/>
  <c r="E79" i="1"/>
  <c r="D79" i="1"/>
  <c r="K78" i="1"/>
  <c r="E78" i="1"/>
  <c r="D78" i="1"/>
  <c r="K77" i="1"/>
  <c r="E77" i="1"/>
  <c r="D77" i="1"/>
  <c r="K76" i="1"/>
  <c r="E76" i="1"/>
  <c r="D76" i="1"/>
  <c r="K75" i="1"/>
  <c r="E75" i="1"/>
  <c r="D75" i="1"/>
  <c r="K74" i="1"/>
  <c r="E74" i="1"/>
  <c r="D74" i="1"/>
  <c r="K73" i="1"/>
  <c r="E73" i="1"/>
  <c r="D73" i="1"/>
  <c r="K72" i="1"/>
  <c r="E72" i="1"/>
  <c r="D72" i="1"/>
  <c r="K71" i="1"/>
  <c r="E71" i="1"/>
  <c r="D71" i="1"/>
  <c r="K70" i="1"/>
  <c r="E70" i="1"/>
  <c r="D70" i="1"/>
  <c r="K69" i="1"/>
  <c r="E69" i="1"/>
  <c r="D69" i="1"/>
  <c r="K68" i="1"/>
  <c r="E68" i="1"/>
  <c r="D68" i="1"/>
  <c r="K67" i="1"/>
  <c r="E67" i="1"/>
  <c r="D67" i="1"/>
  <c r="K66" i="1"/>
  <c r="E66" i="1"/>
  <c r="D66" i="1"/>
  <c r="K65" i="1"/>
  <c r="E65" i="1"/>
  <c r="D65" i="1"/>
  <c r="K64" i="1"/>
  <c r="E64" i="1"/>
  <c r="D64" i="1"/>
  <c r="K63" i="1"/>
  <c r="E63" i="1"/>
  <c r="D63" i="1"/>
  <c r="K62" i="1"/>
  <c r="E62" i="1"/>
  <c r="D62" i="1"/>
  <c r="K61" i="1"/>
  <c r="E61" i="1"/>
  <c r="D61" i="1"/>
  <c r="K60" i="1"/>
  <c r="E60" i="1"/>
  <c r="D60" i="1"/>
  <c r="K59" i="1"/>
  <c r="E59" i="1"/>
  <c r="D59" i="1"/>
  <c r="K58" i="1"/>
  <c r="E58" i="1"/>
  <c r="D58" i="1"/>
  <c r="K57" i="1"/>
  <c r="E57" i="1"/>
  <c r="D57" i="1"/>
  <c r="K56" i="1"/>
  <c r="E56" i="1"/>
  <c r="D56" i="1"/>
  <c r="K55" i="1"/>
  <c r="E55" i="1"/>
  <c r="D55" i="1"/>
  <c r="K54" i="1"/>
  <c r="E54" i="1"/>
  <c r="D54" i="1"/>
  <c r="K53" i="1"/>
  <c r="E53" i="1"/>
  <c r="D53" i="1"/>
  <c r="K52" i="1"/>
  <c r="E52" i="1"/>
  <c r="D52" i="1"/>
  <c r="K51" i="1"/>
  <c r="E51" i="1"/>
  <c r="D51" i="1"/>
  <c r="K50" i="1"/>
  <c r="E50" i="1"/>
  <c r="D50" i="1"/>
  <c r="K49" i="1"/>
  <c r="E49" i="1"/>
  <c r="D49" i="1"/>
  <c r="K48" i="1"/>
  <c r="E48" i="1"/>
  <c r="D48" i="1"/>
  <c r="K47" i="1"/>
  <c r="E47" i="1"/>
  <c r="D47" i="1"/>
  <c r="K46" i="1"/>
  <c r="E46" i="1"/>
  <c r="D46" i="1"/>
  <c r="K45" i="1"/>
  <c r="E45" i="1"/>
  <c r="D45" i="1"/>
  <c r="K44" i="1"/>
  <c r="E44" i="1"/>
  <c r="D44" i="1"/>
  <c r="K43" i="1"/>
  <c r="E43" i="1"/>
  <c r="D43" i="1"/>
  <c r="K42" i="1"/>
  <c r="E42" i="1"/>
  <c r="D42" i="1"/>
  <c r="K41" i="1"/>
  <c r="E41" i="1"/>
  <c r="D41" i="1"/>
  <c r="K40" i="1"/>
  <c r="E40" i="1"/>
  <c r="D40" i="1"/>
  <c r="K39" i="1"/>
  <c r="E39" i="1"/>
  <c r="D39" i="1"/>
  <c r="K38" i="1"/>
  <c r="E38" i="1"/>
  <c r="D38" i="1"/>
  <c r="K37" i="1"/>
  <c r="E37" i="1"/>
  <c r="D37" i="1"/>
  <c r="K36" i="1"/>
  <c r="E36" i="1"/>
  <c r="D36" i="1"/>
  <c r="K35" i="1"/>
  <c r="E35" i="1"/>
  <c r="D35" i="1"/>
  <c r="K34" i="1"/>
  <c r="E34" i="1"/>
  <c r="D34" i="1"/>
  <c r="K33" i="1"/>
  <c r="E33" i="1"/>
  <c r="D33" i="1"/>
  <c r="K32" i="1"/>
  <c r="E32" i="1"/>
  <c r="D32" i="1"/>
  <c r="K31" i="1"/>
  <c r="E31" i="1"/>
  <c r="D31" i="1"/>
  <c r="K30" i="1"/>
  <c r="E30" i="1"/>
  <c r="D30" i="1"/>
  <c r="K29" i="1"/>
  <c r="E29" i="1"/>
  <c r="D29" i="1"/>
  <c r="K28" i="1"/>
  <c r="E28" i="1"/>
  <c r="D28" i="1"/>
  <c r="K27" i="1"/>
  <c r="E27" i="1"/>
  <c r="D27" i="1"/>
  <c r="K26" i="1"/>
  <c r="E26" i="1"/>
  <c r="D26" i="1"/>
  <c r="K25" i="1"/>
  <c r="E25" i="1"/>
  <c r="D25" i="1"/>
  <c r="K24" i="1"/>
  <c r="E24" i="1"/>
  <c r="D24" i="1"/>
  <c r="K23" i="1"/>
  <c r="E23" i="1"/>
  <c r="D23" i="1"/>
  <c r="K22" i="1"/>
  <c r="E22" i="1"/>
  <c r="D22" i="1"/>
  <c r="K21" i="1"/>
  <c r="E21" i="1"/>
  <c r="D21" i="1"/>
  <c r="K20" i="1"/>
  <c r="E20" i="1"/>
  <c r="D20" i="1"/>
  <c r="K19" i="1"/>
  <c r="E19" i="1"/>
  <c r="D19" i="1"/>
  <c r="K18" i="1"/>
  <c r="E18" i="1"/>
  <c r="D18" i="1"/>
  <c r="K17" i="1"/>
  <c r="E17" i="1"/>
  <c r="D17" i="1"/>
  <c r="K16" i="1"/>
  <c r="E16" i="1"/>
  <c r="D16" i="1"/>
  <c r="K15" i="1"/>
  <c r="E15" i="1"/>
  <c r="D15" i="1"/>
  <c r="K14" i="1"/>
  <c r="E14" i="1"/>
  <c r="D14" i="1"/>
  <c r="K13" i="1"/>
  <c r="E13" i="1"/>
  <c r="D13" i="1"/>
  <c r="K12" i="1"/>
  <c r="E12" i="1"/>
  <c r="D12" i="1"/>
  <c r="K11" i="1"/>
  <c r="E11" i="1"/>
  <c r="D11" i="1"/>
  <c r="K10" i="1"/>
  <c r="E10" i="1"/>
  <c r="D10" i="1"/>
  <c r="K9" i="1"/>
  <c r="E9" i="1"/>
  <c r="D9" i="1"/>
  <c r="K8" i="1"/>
  <c r="E8" i="1"/>
  <c r="D8" i="1"/>
  <c r="K7" i="1"/>
  <c r="E7" i="1"/>
  <c r="D7" i="1"/>
  <c r="K6" i="1"/>
  <c r="E6" i="1"/>
  <c r="D6" i="1"/>
  <c r="K5" i="1"/>
  <c r="E5" i="1"/>
  <c r="D5" i="1"/>
  <c r="K4" i="1"/>
  <c r="E4" i="1"/>
  <c r="D4" i="1"/>
  <c r="K3" i="1"/>
  <c r="E3" i="1"/>
  <c r="D3" i="1"/>
  <c r="K2" i="1"/>
  <c r="E2" i="1"/>
  <c r="D2" i="1"/>
</calcChain>
</file>

<file path=xl/sharedStrings.xml><?xml version="1.0" encoding="utf-8"?>
<sst xmlns="http://schemas.openxmlformats.org/spreadsheetml/2006/main" count="311" uniqueCount="64">
  <si>
    <t>Patient_id</t>
  </si>
  <si>
    <t>Row_id</t>
  </si>
  <si>
    <t xml:space="preserve">Age </t>
  </si>
  <si>
    <t>Age_group</t>
  </si>
  <si>
    <t>Age_issue_flag</t>
  </si>
  <si>
    <t>Gender</t>
  </si>
  <si>
    <t>Diagnosis</t>
  </si>
  <si>
    <t>Admission_date</t>
  </si>
  <si>
    <t xml:space="preserve"> Discharge_date</t>
  </si>
  <si>
    <t>Billing_amount</t>
  </si>
  <si>
    <t>Billing_flag</t>
  </si>
  <si>
    <t>P4</t>
  </si>
  <si>
    <t>Male</t>
  </si>
  <si>
    <t>Malaria</t>
  </si>
  <si>
    <t>P17</t>
  </si>
  <si>
    <t>Female</t>
  </si>
  <si>
    <t>Diabetes</t>
  </si>
  <si>
    <t>P8</t>
  </si>
  <si>
    <t>P7</t>
  </si>
  <si>
    <t>P50</t>
  </si>
  <si>
    <t>Hypertension</t>
  </si>
  <si>
    <t>P15</t>
  </si>
  <si>
    <t>P31</t>
  </si>
  <si>
    <t>P10</t>
  </si>
  <si>
    <t>P38</t>
  </si>
  <si>
    <t>P43</t>
  </si>
  <si>
    <t>Typhoid</t>
  </si>
  <si>
    <t>P25</t>
  </si>
  <si>
    <t>Asthma</t>
  </si>
  <si>
    <t>P30</t>
  </si>
  <si>
    <t>P6</t>
  </si>
  <si>
    <t>P32</t>
  </si>
  <si>
    <t>P16</t>
  </si>
  <si>
    <t>Unknown</t>
  </si>
  <si>
    <t>P40</t>
  </si>
  <si>
    <t>P26</t>
  </si>
  <si>
    <t>P45</t>
  </si>
  <si>
    <t>P2</t>
  </si>
  <si>
    <t>P14</t>
  </si>
  <si>
    <t>P39</t>
  </si>
  <si>
    <t>P21</t>
  </si>
  <si>
    <t>P44</t>
  </si>
  <si>
    <t>P1</t>
  </si>
  <si>
    <t>P48</t>
  </si>
  <si>
    <t>P20</t>
  </si>
  <si>
    <t>P36</t>
  </si>
  <si>
    <t>P18</t>
  </si>
  <si>
    <t>P42</t>
  </si>
  <si>
    <t>P5</t>
  </si>
  <si>
    <t>P12</t>
  </si>
  <si>
    <t>P19</t>
  </si>
  <si>
    <t>P46</t>
  </si>
  <si>
    <t>P9</t>
  </si>
  <si>
    <t>P11</t>
  </si>
  <si>
    <t>P29</t>
  </si>
  <si>
    <t>P27</t>
  </si>
  <si>
    <t>P3</t>
  </si>
  <si>
    <t>P22</t>
  </si>
  <si>
    <t>P23</t>
  </si>
  <si>
    <t>P49</t>
  </si>
  <si>
    <t>P37</t>
  </si>
  <si>
    <t>P24</t>
  </si>
  <si>
    <t>P13</t>
  </si>
  <si>
    <t>P34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</si>
</sst>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[$₦-469]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0">
    <dxf>
      <numFmt numFmtId="164" formatCode="dd/mm/yyyy;@"/>
    </dxf>
    <dxf>
      <numFmt numFmtId="164" formatCode="dd/mm/yyyy;@"/>
    </dxf>
    <dxf>
      <numFmt numFmtId="165" formatCode="[$₦-469]\ #,##0.00"/>
    </dxf>
    <dxf>
      <numFmt numFmtId="165" formatCode="[$₦-469]\ #,##0.00"/>
    </dxf>
    <dxf>
      <numFmt numFmtId="164" formatCode="dd/mm/yyyy;@"/>
    </dxf>
    <dxf>
      <numFmt numFmtId="164" formatCode="dd/mm/yyyy;@"/>
    </dxf>
    <dxf>
      <numFmt numFmtId="164" formatCode="dd/mm/yyyy;@"/>
    </dxf>
    <dxf>
      <numFmt numFmtId="164" formatCode="dd/mm/yyyy;@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2ADCD5-FD1B-4E63-9736-E7E5D681431A}" name="Table1" displayName="Table1" ref="A1:K102" totalsRowCount="1">
  <autoFilter ref="A1:K101" xr:uid="{EAC539B7-8EB1-4937-AF6D-3B481B3C8DB7}"/>
  <sortState xmlns:xlrd2="http://schemas.microsoft.com/office/spreadsheetml/2017/richdata2" ref="A2:J101">
    <sortCondition ref="B2:B101"/>
  </sortState>
  <tableColumns count="11">
    <tableColumn id="1" xr3:uid="{7795B38F-7A0C-4356-A8BD-0DAE0092FC50}" name="Patient_id"/>
    <tableColumn id="14" xr3:uid="{40A3CB51-9038-49BC-B7E0-16C41D5666D5}" name="Row_id"/>
    <tableColumn id="2" xr3:uid="{17E76A4D-ADC6-4D1A-8C80-862140A672A4}" name="Age "/>
    <tableColumn id="9" xr3:uid="{03BE3CCB-1D55-40A4-838C-9D57C803CF06}" name="Age_group" dataDxfId="9">
      <calculatedColumnFormula>IF(C2="Missing","Unknown",
IF(C2&lt;=18,"0-18",
IF(C2&lt;=35,"19-35",
IF(C2&lt;=55,"36-55","56+"))))</calculatedColumnFormula>
    </tableColumn>
    <tableColumn id="12" xr3:uid="{D0A9106B-8AEF-410B-A614-F63D32AF2F28}" name="Age_issue_flag" dataDxfId="8">
      <calculatedColumnFormula>IF(C2="", "Missing", IF(C2&lt;5, "Check", "Ok"))</calculatedColumnFormula>
    </tableColumn>
    <tableColumn id="3" xr3:uid="{8FACFA77-0DEE-423D-86BF-80171F2BDDA6}" name="Gender"/>
    <tableColumn id="4" xr3:uid="{BD723EE7-8BF9-46C8-877E-3790430A259F}" name="Diagnosis"/>
    <tableColumn id="5" xr3:uid="{5B2CA92F-46E9-470D-BD7E-1B494A95701A}" name="Admission_date" dataDxfId="6" totalsRowDxfId="7"/>
    <tableColumn id="6" xr3:uid="{6C6149F9-7CCB-469D-BE24-571DD192AB9F}" name=" Discharge_date" dataDxfId="4" totalsRowDxfId="5"/>
    <tableColumn id="7" xr3:uid="{AD85BF90-3E4C-4B7B-9C5D-4D8BDE4AFB4A}" name="Billing_amount" totalsRowFunction="sum" dataDxfId="2" totalsRowDxfId="3"/>
    <tableColumn id="8" xr3:uid="{06C691D3-A0C4-44FE-BF89-A4AE923138A9}" name="Billing_flag" dataDxfId="0" totalsRowDxfId="1">
      <calculatedColumnFormula>IF(J2="","missing","ok")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63C6-DAF1-4C30-925F-CC9F2C820876}">
  <dimension ref="A1:L102"/>
  <sheetViews>
    <sheetView tabSelected="1" workbookViewId="0">
      <selection activeCell="F9" sqref="F9"/>
    </sheetView>
  </sheetViews>
  <sheetFormatPr defaultRowHeight="15" x14ac:dyDescent="0.25"/>
  <cols>
    <col min="1" max="1" width="12.42578125" bestFit="1" customWidth="1"/>
    <col min="2" max="2" width="9.85546875" bestFit="1" customWidth="1"/>
    <col min="3" max="3" width="7.140625" bestFit="1" customWidth="1"/>
    <col min="4" max="4" width="12.85546875" bestFit="1" customWidth="1"/>
    <col min="5" max="5" width="16.7109375" bestFit="1" customWidth="1"/>
    <col min="6" max="6" width="10" bestFit="1" customWidth="1"/>
    <col min="7" max="7" width="13.140625" bestFit="1" customWidth="1"/>
    <col min="8" max="8" width="17.7109375" style="1" bestFit="1" customWidth="1"/>
    <col min="9" max="9" width="17.42578125" style="1" bestFit="1" customWidth="1"/>
    <col min="10" max="10" width="16.85546875" bestFit="1" customWidth="1"/>
    <col min="11" max="11" width="13.140625" style="2" bestFit="1" customWidth="1"/>
    <col min="12" max="12" width="17.28515625" style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/>
    </row>
    <row r="2" spans="1:12" x14ac:dyDescent="0.25">
      <c r="A2" t="s">
        <v>11</v>
      </c>
      <c r="B2">
        <v>1</v>
      </c>
      <c r="C2">
        <v>44</v>
      </c>
      <c r="D2" t="str">
        <f>IF(C2="Missing","Unknown",
IF(C2&lt;=18,"0-18",
IF(C2&lt;=35,"19-35",
IF(C2&lt;=55,"36-55","56+"))))</f>
        <v>36-55</v>
      </c>
      <c r="E2" t="str">
        <f t="shared" ref="E2:E65" si="0">IF(C2="", "Missing", IF(C2&lt;5, "Check", "Ok"))</f>
        <v>Ok</v>
      </c>
      <c r="F2" t="s">
        <v>12</v>
      </c>
      <c r="G2" t="s">
        <v>13</v>
      </c>
      <c r="H2" s="1">
        <v>45000</v>
      </c>
      <c r="I2" s="1">
        <v>45003</v>
      </c>
      <c r="J2" s="2">
        <v>49170.05</v>
      </c>
      <c r="K2" s="1" t="str">
        <f t="shared" ref="K2:K65" si="1">IF(J2="","missing","ok")</f>
        <v>ok</v>
      </c>
      <c r="L2"/>
    </row>
    <row r="3" spans="1:12" x14ac:dyDescent="0.25">
      <c r="A3" t="s">
        <v>14</v>
      </c>
      <c r="B3">
        <v>2</v>
      </c>
      <c r="D3" t="str">
        <f t="shared" ref="D3:D66" si="2">IF(C3="Missing","Unknown",
IF(C3&lt;=18,"0-18",
IF(C3&lt;=35,"19-35",
IF(C3&lt;=55,"36-55","56+"))))</f>
        <v>0-18</v>
      </c>
      <c r="E3" t="str">
        <f t="shared" si="0"/>
        <v>Missing</v>
      </c>
      <c r="F3" t="s">
        <v>15</v>
      </c>
      <c r="G3" t="s">
        <v>16</v>
      </c>
      <c r="H3" s="1">
        <v>45016</v>
      </c>
      <c r="I3" s="1">
        <v>45024</v>
      </c>
      <c r="J3" s="2">
        <v>45778.51</v>
      </c>
      <c r="K3" s="1" t="str">
        <f t="shared" si="1"/>
        <v>ok</v>
      </c>
      <c r="L3"/>
    </row>
    <row r="4" spans="1:12" x14ac:dyDescent="0.25">
      <c r="A4" t="s">
        <v>17</v>
      </c>
      <c r="B4">
        <v>3</v>
      </c>
      <c r="D4" t="str">
        <f t="shared" si="2"/>
        <v>0-18</v>
      </c>
      <c r="E4" t="str">
        <f t="shared" si="0"/>
        <v>Missing</v>
      </c>
      <c r="F4" t="s">
        <v>12</v>
      </c>
      <c r="G4" t="s">
        <v>13</v>
      </c>
      <c r="H4" s="1">
        <v>45206</v>
      </c>
      <c r="I4" s="1">
        <v>45214</v>
      </c>
      <c r="J4" s="2"/>
      <c r="K4" s="1" t="str">
        <f t="shared" si="1"/>
        <v>missing</v>
      </c>
      <c r="L4"/>
    </row>
    <row r="5" spans="1:12" x14ac:dyDescent="0.25">
      <c r="A5" t="s">
        <v>18</v>
      </c>
      <c r="B5">
        <v>4</v>
      </c>
      <c r="D5" t="str">
        <f t="shared" si="2"/>
        <v>0-18</v>
      </c>
      <c r="E5" t="str">
        <f t="shared" si="0"/>
        <v>Missing</v>
      </c>
      <c r="F5" t="s">
        <v>15</v>
      </c>
      <c r="G5" t="s">
        <v>16</v>
      </c>
      <c r="H5" s="1">
        <v>45222</v>
      </c>
      <c r="I5" s="1">
        <v>45232</v>
      </c>
      <c r="J5" s="2">
        <v>46813.33</v>
      </c>
      <c r="K5" s="1" t="str">
        <f t="shared" si="1"/>
        <v>ok</v>
      </c>
      <c r="L5"/>
    </row>
    <row r="6" spans="1:12" x14ac:dyDescent="0.25">
      <c r="A6" t="s">
        <v>19</v>
      </c>
      <c r="B6">
        <v>5</v>
      </c>
      <c r="C6">
        <v>67</v>
      </c>
      <c r="D6" t="str">
        <f t="shared" si="2"/>
        <v>56+</v>
      </c>
      <c r="E6" t="str">
        <f t="shared" si="0"/>
        <v>Ok</v>
      </c>
      <c r="F6" t="s">
        <v>15</v>
      </c>
      <c r="G6" t="s">
        <v>20</v>
      </c>
      <c r="H6" s="1">
        <v>45224</v>
      </c>
      <c r="I6" s="1">
        <v>45233</v>
      </c>
      <c r="J6" s="2">
        <v>41900.15</v>
      </c>
      <c r="K6" s="1" t="str">
        <f t="shared" si="1"/>
        <v>ok</v>
      </c>
      <c r="L6"/>
    </row>
    <row r="7" spans="1:12" x14ac:dyDescent="0.25">
      <c r="A7" t="s">
        <v>21</v>
      </c>
      <c r="B7">
        <v>6</v>
      </c>
      <c r="D7" t="str">
        <f t="shared" si="2"/>
        <v>0-18</v>
      </c>
      <c r="E7" t="str">
        <f t="shared" si="0"/>
        <v>Missing</v>
      </c>
      <c r="F7" t="s">
        <v>12</v>
      </c>
      <c r="G7" t="s">
        <v>13</v>
      </c>
      <c r="H7" s="1">
        <v>44948</v>
      </c>
      <c r="I7" s="1">
        <v>44953</v>
      </c>
      <c r="J7" s="2">
        <v>48117.72</v>
      </c>
      <c r="K7" s="1" t="str">
        <f t="shared" si="1"/>
        <v>ok</v>
      </c>
      <c r="L7"/>
    </row>
    <row r="8" spans="1:12" x14ac:dyDescent="0.25">
      <c r="A8" t="s">
        <v>22</v>
      </c>
      <c r="B8">
        <v>7</v>
      </c>
      <c r="C8">
        <v>29</v>
      </c>
      <c r="D8" t="str">
        <f t="shared" si="2"/>
        <v>19-35</v>
      </c>
      <c r="E8" t="str">
        <f t="shared" si="0"/>
        <v>Ok</v>
      </c>
      <c r="F8" t="s">
        <v>15</v>
      </c>
      <c r="G8" t="s">
        <v>13</v>
      </c>
      <c r="H8" s="1">
        <v>45123</v>
      </c>
      <c r="I8" s="1">
        <v>45124</v>
      </c>
      <c r="J8" s="2"/>
      <c r="K8" s="1" t="str">
        <f t="shared" si="1"/>
        <v>missing</v>
      </c>
      <c r="L8"/>
    </row>
    <row r="9" spans="1:12" x14ac:dyDescent="0.25">
      <c r="A9" t="s">
        <v>23</v>
      </c>
      <c r="B9">
        <v>8</v>
      </c>
      <c r="D9" t="str">
        <f t="shared" si="2"/>
        <v>0-18</v>
      </c>
      <c r="E9" t="str">
        <f t="shared" si="0"/>
        <v>Missing</v>
      </c>
      <c r="F9" t="s">
        <v>12</v>
      </c>
      <c r="G9" t="s">
        <v>13</v>
      </c>
      <c r="H9" s="1">
        <v>44941</v>
      </c>
      <c r="I9" s="1">
        <v>44944</v>
      </c>
      <c r="J9" s="2">
        <v>6379.39</v>
      </c>
      <c r="K9" s="1" t="str">
        <f t="shared" si="1"/>
        <v>ok</v>
      </c>
      <c r="L9"/>
    </row>
    <row r="10" spans="1:12" x14ac:dyDescent="0.25">
      <c r="A10" t="s">
        <v>24</v>
      </c>
      <c r="B10">
        <v>9</v>
      </c>
      <c r="C10">
        <v>1</v>
      </c>
      <c r="D10" t="str">
        <f t="shared" si="2"/>
        <v>0-18</v>
      </c>
      <c r="E10" t="str">
        <f t="shared" si="0"/>
        <v>Check</v>
      </c>
      <c r="F10" t="s">
        <v>12</v>
      </c>
      <c r="G10" t="s">
        <v>16</v>
      </c>
      <c r="H10" s="1">
        <v>45263</v>
      </c>
      <c r="I10" s="1">
        <v>45268</v>
      </c>
      <c r="J10" s="2"/>
      <c r="K10" s="1" t="str">
        <f t="shared" si="1"/>
        <v>missing</v>
      </c>
      <c r="L10"/>
    </row>
    <row r="11" spans="1:12" x14ac:dyDescent="0.25">
      <c r="A11" t="s">
        <v>25</v>
      </c>
      <c r="B11">
        <v>10</v>
      </c>
      <c r="D11" t="str">
        <f t="shared" si="2"/>
        <v>0-18</v>
      </c>
      <c r="E11" t="str">
        <f t="shared" si="0"/>
        <v>Missing</v>
      </c>
      <c r="F11" t="s">
        <v>12</v>
      </c>
      <c r="G11" t="s">
        <v>26</v>
      </c>
      <c r="H11" s="1">
        <v>45264</v>
      </c>
      <c r="I11" s="1">
        <v>45270</v>
      </c>
      <c r="J11" s="2">
        <v>21753.77</v>
      </c>
      <c r="K11" s="1" t="str">
        <f t="shared" si="1"/>
        <v>ok</v>
      </c>
      <c r="L11"/>
    </row>
    <row r="12" spans="1:12" x14ac:dyDescent="0.25">
      <c r="A12" t="s">
        <v>27</v>
      </c>
      <c r="B12">
        <v>11</v>
      </c>
      <c r="D12" t="str">
        <f t="shared" si="2"/>
        <v>0-18</v>
      </c>
      <c r="E12" t="str">
        <f t="shared" si="0"/>
        <v>Missing</v>
      </c>
      <c r="F12" t="s">
        <v>12</v>
      </c>
      <c r="G12" t="s">
        <v>26</v>
      </c>
      <c r="H12" s="1">
        <v>45216</v>
      </c>
      <c r="I12" s="1">
        <v>45226</v>
      </c>
      <c r="J12" s="2"/>
      <c r="K12" s="1" t="str">
        <f t="shared" si="1"/>
        <v>missing</v>
      </c>
      <c r="L12"/>
    </row>
    <row r="13" spans="1:12" x14ac:dyDescent="0.25">
      <c r="A13" t="s">
        <v>23</v>
      </c>
      <c r="B13">
        <v>12</v>
      </c>
      <c r="C13">
        <v>52</v>
      </c>
      <c r="D13" t="str">
        <f t="shared" si="2"/>
        <v>36-55</v>
      </c>
      <c r="E13" t="str">
        <f t="shared" si="0"/>
        <v>Ok</v>
      </c>
      <c r="F13" t="s">
        <v>12</v>
      </c>
      <c r="G13" t="s">
        <v>28</v>
      </c>
      <c r="H13" s="1">
        <v>44938</v>
      </c>
      <c r="I13" s="1">
        <v>44946</v>
      </c>
      <c r="J13" s="2"/>
      <c r="K13" s="1" t="str">
        <f t="shared" si="1"/>
        <v>missing</v>
      </c>
      <c r="L13"/>
    </row>
    <row r="14" spans="1:12" x14ac:dyDescent="0.25">
      <c r="A14" t="s">
        <v>29</v>
      </c>
      <c r="B14">
        <v>13</v>
      </c>
      <c r="D14" t="str">
        <f t="shared" si="2"/>
        <v>0-18</v>
      </c>
      <c r="E14" t="str">
        <f t="shared" si="0"/>
        <v>Missing</v>
      </c>
      <c r="F14" t="s">
        <v>12</v>
      </c>
      <c r="G14" t="s">
        <v>16</v>
      </c>
      <c r="H14" s="1">
        <v>45224</v>
      </c>
      <c r="I14" s="1">
        <v>45228</v>
      </c>
      <c r="J14" s="2">
        <v>20798.8</v>
      </c>
      <c r="K14" s="1" t="str">
        <f t="shared" si="1"/>
        <v>ok</v>
      </c>
      <c r="L14"/>
    </row>
    <row r="15" spans="1:12" x14ac:dyDescent="0.25">
      <c r="A15" t="s">
        <v>30</v>
      </c>
      <c r="B15">
        <v>14</v>
      </c>
      <c r="C15">
        <v>46</v>
      </c>
      <c r="D15" t="str">
        <f t="shared" si="2"/>
        <v>36-55</v>
      </c>
      <c r="E15" t="str">
        <f t="shared" si="0"/>
        <v>Ok</v>
      </c>
      <c r="F15" t="s">
        <v>15</v>
      </c>
      <c r="G15" t="s">
        <v>20</v>
      </c>
      <c r="H15" s="1">
        <v>45260</v>
      </c>
      <c r="I15" s="1">
        <v>45261</v>
      </c>
      <c r="J15" s="2">
        <v>42050.51</v>
      </c>
      <c r="K15" s="1" t="str">
        <f t="shared" si="1"/>
        <v>ok</v>
      </c>
      <c r="L15"/>
    </row>
    <row r="16" spans="1:12" x14ac:dyDescent="0.25">
      <c r="A16" t="s">
        <v>21</v>
      </c>
      <c r="B16">
        <v>15</v>
      </c>
      <c r="D16" t="str">
        <f t="shared" si="2"/>
        <v>0-18</v>
      </c>
      <c r="E16" t="str">
        <f t="shared" si="0"/>
        <v>Missing</v>
      </c>
      <c r="F16" t="s">
        <v>12</v>
      </c>
      <c r="G16" t="s">
        <v>28</v>
      </c>
      <c r="H16" s="1">
        <v>45154</v>
      </c>
      <c r="I16" s="1">
        <v>45158</v>
      </c>
      <c r="J16" s="2"/>
      <c r="K16" s="1" t="str">
        <f t="shared" si="1"/>
        <v>missing</v>
      </c>
      <c r="L16"/>
    </row>
    <row r="17" spans="1:12" x14ac:dyDescent="0.25">
      <c r="A17" t="s">
        <v>31</v>
      </c>
      <c r="B17">
        <v>16</v>
      </c>
      <c r="C17">
        <v>36</v>
      </c>
      <c r="D17" t="str">
        <f t="shared" si="2"/>
        <v>36-55</v>
      </c>
      <c r="E17" t="str">
        <f t="shared" si="0"/>
        <v>Ok</v>
      </c>
      <c r="F17" t="s">
        <v>15</v>
      </c>
      <c r="G17" t="s">
        <v>13</v>
      </c>
      <c r="H17" s="1">
        <v>44999</v>
      </c>
      <c r="I17" s="1">
        <v>45008</v>
      </c>
      <c r="J17" s="2"/>
      <c r="K17" s="1" t="str">
        <f t="shared" si="1"/>
        <v>missing</v>
      </c>
      <c r="L17"/>
    </row>
    <row r="18" spans="1:12" x14ac:dyDescent="0.25">
      <c r="A18" t="s">
        <v>32</v>
      </c>
      <c r="B18">
        <v>17</v>
      </c>
      <c r="D18" t="str">
        <f t="shared" si="2"/>
        <v>0-18</v>
      </c>
      <c r="E18" t="str">
        <f t="shared" si="0"/>
        <v>Missing</v>
      </c>
      <c r="F18" t="s">
        <v>15</v>
      </c>
      <c r="G18" t="s">
        <v>33</v>
      </c>
      <c r="H18" s="1">
        <v>45164</v>
      </c>
      <c r="I18" s="1">
        <v>45174</v>
      </c>
      <c r="J18" s="2"/>
      <c r="K18" s="1" t="str">
        <f t="shared" si="1"/>
        <v>missing</v>
      </c>
      <c r="L18"/>
    </row>
    <row r="19" spans="1:12" x14ac:dyDescent="0.25">
      <c r="A19" t="s">
        <v>34</v>
      </c>
      <c r="B19">
        <v>18</v>
      </c>
      <c r="D19" t="str">
        <f t="shared" si="2"/>
        <v>0-18</v>
      </c>
      <c r="E19" t="str">
        <f t="shared" si="0"/>
        <v>Missing</v>
      </c>
      <c r="F19" t="s">
        <v>15</v>
      </c>
      <c r="G19" t="s">
        <v>28</v>
      </c>
      <c r="H19" s="1">
        <v>45008</v>
      </c>
      <c r="I19" s="1">
        <v>45015</v>
      </c>
      <c r="J19" s="2">
        <v>21821.73</v>
      </c>
      <c r="K19" s="1" t="str">
        <f t="shared" si="1"/>
        <v>ok</v>
      </c>
      <c r="L19"/>
    </row>
    <row r="20" spans="1:12" x14ac:dyDescent="0.25">
      <c r="A20" t="s">
        <v>35</v>
      </c>
      <c r="B20">
        <v>19</v>
      </c>
      <c r="D20" t="str">
        <f t="shared" si="2"/>
        <v>0-18</v>
      </c>
      <c r="E20" t="str">
        <f t="shared" si="0"/>
        <v>Missing</v>
      </c>
      <c r="F20" t="s">
        <v>12</v>
      </c>
      <c r="G20" t="s">
        <v>26</v>
      </c>
      <c r="H20" s="1">
        <v>45125</v>
      </c>
      <c r="I20" s="1">
        <v>45134</v>
      </c>
      <c r="J20" s="2"/>
      <c r="K20" s="1" t="str">
        <f t="shared" si="1"/>
        <v>missing</v>
      </c>
      <c r="L20"/>
    </row>
    <row r="21" spans="1:12" x14ac:dyDescent="0.25">
      <c r="A21" t="s">
        <v>36</v>
      </c>
      <c r="B21">
        <v>20</v>
      </c>
      <c r="C21">
        <v>37</v>
      </c>
      <c r="D21" t="str">
        <f t="shared" si="2"/>
        <v>36-55</v>
      </c>
      <c r="E21" t="str">
        <f t="shared" si="0"/>
        <v>Ok</v>
      </c>
      <c r="F21" t="s">
        <v>12</v>
      </c>
      <c r="G21" t="s">
        <v>28</v>
      </c>
      <c r="H21" s="1">
        <v>45124</v>
      </c>
      <c r="I21" s="1">
        <v>45131</v>
      </c>
      <c r="J21" s="2">
        <v>42656.07</v>
      </c>
      <c r="K21" s="1" t="str">
        <f t="shared" si="1"/>
        <v>ok</v>
      </c>
      <c r="L21"/>
    </row>
    <row r="22" spans="1:12" x14ac:dyDescent="0.25">
      <c r="A22" t="s">
        <v>37</v>
      </c>
      <c r="B22">
        <v>21</v>
      </c>
      <c r="C22">
        <v>78</v>
      </c>
      <c r="D22" t="str">
        <f t="shared" si="2"/>
        <v>56+</v>
      </c>
      <c r="E22" t="str">
        <f t="shared" si="0"/>
        <v>Ok</v>
      </c>
      <c r="F22" t="s">
        <v>12</v>
      </c>
      <c r="G22" t="s">
        <v>33</v>
      </c>
      <c r="H22" s="1">
        <v>45035</v>
      </c>
      <c r="I22" s="1">
        <v>45040</v>
      </c>
      <c r="J22" s="2"/>
      <c r="K22" s="1" t="str">
        <f t="shared" si="1"/>
        <v>missing</v>
      </c>
      <c r="L22"/>
    </row>
    <row r="23" spans="1:12" x14ac:dyDescent="0.25">
      <c r="A23" t="s">
        <v>24</v>
      </c>
      <c r="B23">
        <v>22</v>
      </c>
      <c r="D23" t="str">
        <f t="shared" si="2"/>
        <v>0-18</v>
      </c>
      <c r="E23" t="str">
        <f t="shared" si="0"/>
        <v>Missing</v>
      </c>
      <c r="F23" t="s">
        <v>12</v>
      </c>
      <c r="G23" t="s">
        <v>20</v>
      </c>
      <c r="H23" s="1">
        <v>45073</v>
      </c>
      <c r="I23" s="1">
        <v>45078</v>
      </c>
      <c r="J23" s="2"/>
      <c r="K23" s="1" t="str">
        <f t="shared" si="1"/>
        <v>missing</v>
      </c>
      <c r="L23"/>
    </row>
    <row r="24" spans="1:12" x14ac:dyDescent="0.25">
      <c r="A24" t="s">
        <v>38</v>
      </c>
      <c r="B24">
        <v>23</v>
      </c>
      <c r="C24">
        <v>40</v>
      </c>
      <c r="D24" t="str">
        <f t="shared" si="2"/>
        <v>36-55</v>
      </c>
      <c r="E24" t="str">
        <f t="shared" si="0"/>
        <v>Ok</v>
      </c>
      <c r="F24" t="s">
        <v>12</v>
      </c>
      <c r="G24" t="s">
        <v>20</v>
      </c>
      <c r="H24" s="1">
        <v>45138</v>
      </c>
      <c r="I24" s="1">
        <v>45141</v>
      </c>
      <c r="J24" s="2"/>
      <c r="K24" s="1" t="str">
        <f t="shared" si="1"/>
        <v>missing</v>
      </c>
      <c r="L24"/>
    </row>
    <row r="25" spans="1:12" x14ac:dyDescent="0.25">
      <c r="A25" t="s">
        <v>39</v>
      </c>
      <c r="B25">
        <v>24</v>
      </c>
      <c r="D25" t="str">
        <f t="shared" si="2"/>
        <v>0-18</v>
      </c>
      <c r="E25" t="str">
        <f t="shared" si="0"/>
        <v>Missing</v>
      </c>
      <c r="F25" t="s">
        <v>15</v>
      </c>
      <c r="G25" t="s">
        <v>28</v>
      </c>
      <c r="H25" s="1">
        <v>45154</v>
      </c>
      <c r="I25" s="1">
        <v>45158</v>
      </c>
      <c r="J25" s="2">
        <v>17002.009999999998</v>
      </c>
      <c r="K25" s="1" t="str">
        <f t="shared" si="1"/>
        <v>ok</v>
      </c>
      <c r="L25"/>
    </row>
    <row r="26" spans="1:12" x14ac:dyDescent="0.25">
      <c r="A26" t="s">
        <v>40</v>
      </c>
      <c r="B26">
        <v>25</v>
      </c>
      <c r="C26">
        <v>23</v>
      </c>
      <c r="D26" t="str">
        <f t="shared" si="2"/>
        <v>19-35</v>
      </c>
      <c r="E26" t="str">
        <f t="shared" si="0"/>
        <v>Ok</v>
      </c>
      <c r="F26" t="s">
        <v>15</v>
      </c>
      <c r="G26" t="s">
        <v>33</v>
      </c>
      <c r="H26" s="1">
        <v>44942</v>
      </c>
      <c r="I26" s="1">
        <v>44945</v>
      </c>
      <c r="J26" s="2"/>
      <c r="K26" s="1" t="str">
        <f t="shared" si="1"/>
        <v>missing</v>
      </c>
      <c r="L26"/>
    </row>
    <row r="27" spans="1:12" x14ac:dyDescent="0.25">
      <c r="A27" t="s">
        <v>14</v>
      </c>
      <c r="B27">
        <v>26</v>
      </c>
      <c r="D27" t="str">
        <f t="shared" si="2"/>
        <v>0-18</v>
      </c>
      <c r="E27" t="str">
        <f t="shared" si="0"/>
        <v>Missing</v>
      </c>
      <c r="F27" t="s">
        <v>15</v>
      </c>
      <c r="G27" t="s">
        <v>16</v>
      </c>
      <c r="H27" s="1">
        <v>44954</v>
      </c>
      <c r="I27" s="1">
        <v>44961</v>
      </c>
      <c r="J27" s="2"/>
      <c r="K27" s="1" t="str">
        <f t="shared" si="1"/>
        <v>missing</v>
      </c>
      <c r="L27"/>
    </row>
    <row r="28" spans="1:12" x14ac:dyDescent="0.25">
      <c r="A28" t="s">
        <v>17</v>
      </c>
      <c r="B28">
        <v>27</v>
      </c>
      <c r="D28" t="str">
        <f t="shared" si="2"/>
        <v>0-18</v>
      </c>
      <c r="E28" t="str">
        <f t="shared" si="0"/>
        <v>Missing</v>
      </c>
      <c r="F28" t="s">
        <v>12</v>
      </c>
      <c r="G28" t="s">
        <v>16</v>
      </c>
      <c r="H28" s="1">
        <v>45124</v>
      </c>
      <c r="I28" s="1">
        <v>45130</v>
      </c>
      <c r="J28" s="2"/>
      <c r="K28" s="1" t="str">
        <f t="shared" si="1"/>
        <v>missing</v>
      </c>
      <c r="L28"/>
    </row>
    <row r="29" spans="1:12" x14ac:dyDescent="0.25">
      <c r="A29" t="s">
        <v>41</v>
      </c>
      <c r="B29">
        <v>28</v>
      </c>
      <c r="C29">
        <v>71</v>
      </c>
      <c r="D29" t="str">
        <f t="shared" si="2"/>
        <v>56+</v>
      </c>
      <c r="E29" t="str">
        <f t="shared" si="0"/>
        <v>Ok</v>
      </c>
      <c r="F29" t="s">
        <v>15</v>
      </c>
      <c r="G29" t="s">
        <v>16</v>
      </c>
      <c r="H29" s="1">
        <v>45149</v>
      </c>
      <c r="I29" s="1">
        <v>45157</v>
      </c>
      <c r="J29" s="2"/>
      <c r="K29" s="1" t="str">
        <f t="shared" si="1"/>
        <v>missing</v>
      </c>
      <c r="L29"/>
    </row>
    <row r="30" spans="1:12" x14ac:dyDescent="0.25">
      <c r="A30" t="s">
        <v>42</v>
      </c>
      <c r="B30">
        <v>29</v>
      </c>
      <c r="D30" t="str">
        <f t="shared" si="2"/>
        <v>0-18</v>
      </c>
      <c r="E30" t="str">
        <f t="shared" si="0"/>
        <v>Missing</v>
      </c>
      <c r="F30" t="s">
        <v>15</v>
      </c>
      <c r="G30" t="s">
        <v>26</v>
      </c>
      <c r="H30" s="1">
        <v>45074</v>
      </c>
      <c r="I30" s="1">
        <v>45083</v>
      </c>
      <c r="J30" s="2"/>
      <c r="K30" s="1" t="str">
        <f t="shared" si="1"/>
        <v>missing</v>
      </c>
      <c r="L30"/>
    </row>
    <row r="31" spans="1:12" x14ac:dyDescent="0.25">
      <c r="A31" t="s">
        <v>37</v>
      </c>
      <c r="B31">
        <v>30</v>
      </c>
      <c r="D31" t="str">
        <f t="shared" si="2"/>
        <v>0-18</v>
      </c>
      <c r="E31" t="str">
        <f t="shared" si="0"/>
        <v>Missing</v>
      </c>
      <c r="F31" t="s">
        <v>12</v>
      </c>
      <c r="G31" t="s">
        <v>16</v>
      </c>
      <c r="H31" s="1">
        <v>45216</v>
      </c>
      <c r="I31" s="1">
        <v>45221</v>
      </c>
      <c r="J31" s="2"/>
      <c r="K31" s="1" t="str">
        <f t="shared" si="1"/>
        <v>missing</v>
      </c>
      <c r="L31"/>
    </row>
    <row r="32" spans="1:12" x14ac:dyDescent="0.25">
      <c r="A32" t="s">
        <v>41</v>
      </c>
      <c r="B32">
        <v>31</v>
      </c>
      <c r="D32" t="str">
        <f t="shared" si="2"/>
        <v>0-18</v>
      </c>
      <c r="E32" t="str">
        <f t="shared" si="0"/>
        <v>Missing</v>
      </c>
      <c r="F32" t="s">
        <v>15</v>
      </c>
      <c r="G32" t="s">
        <v>13</v>
      </c>
      <c r="H32" s="1">
        <v>45245</v>
      </c>
      <c r="I32" s="1">
        <v>45249</v>
      </c>
      <c r="J32" s="2"/>
      <c r="K32" s="1" t="str">
        <f t="shared" si="1"/>
        <v>missing</v>
      </c>
      <c r="L32"/>
    </row>
    <row r="33" spans="1:12" x14ac:dyDescent="0.25">
      <c r="A33" t="s">
        <v>43</v>
      </c>
      <c r="B33">
        <v>32</v>
      </c>
      <c r="D33" t="str">
        <f t="shared" si="2"/>
        <v>0-18</v>
      </c>
      <c r="E33" t="str">
        <f t="shared" si="0"/>
        <v>Missing</v>
      </c>
      <c r="F33" t="s">
        <v>12</v>
      </c>
      <c r="G33" t="s">
        <v>33</v>
      </c>
      <c r="H33" s="1">
        <v>45141</v>
      </c>
      <c r="I33" s="1">
        <v>45147</v>
      </c>
      <c r="J33" s="2"/>
      <c r="K33" s="1" t="str">
        <f t="shared" si="1"/>
        <v>missing</v>
      </c>
      <c r="L33"/>
    </row>
    <row r="34" spans="1:12" x14ac:dyDescent="0.25">
      <c r="A34" t="s">
        <v>44</v>
      </c>
      <c r="B34">
        <v>33</v>
      </c>
      <c r="D34" t="str">
        <f t="shared" si="2"/>
        <v>0-18</v>
      </c>
      <c r="E34" t="str">
        <f t="shared" si="0"/>
        <v>Missing</v>
      </c>
      <c r="F34" t="s">
        <v>12</v>
      </c>
      <c r="G34" t="s">
        <v>20</v>
      </c>
      <c r="H34" s="1">
        <v>45091</v>
      </c>
      <c r="I34" s="1">
        <v>45096</v>
      </c>
      <c r="J34" s="2"/>
      <c r="K34" s="1" t="str">
        <f t="shared" si="1"/>
        <v>missing</v>
      </c>
      <c r="L34"/>
    </row>
    <row r="35" spans="1:12" x14ac:dyDescent="0.25">
      <c r="A35" t="s">
        <v>45</v>
      </c>
      <c r="B35">
        <v>34</v>
      </c>
      <c r="D35" t="str">
        <f t="shared" si="2"/>
        <v>0-18</v>
      </c>
      <c r="E35" t="str">
        <f t="shared" si="0"/>
        <v>Missing</v>
      </c>
      <c r="F35" t="s">
        <v>12</v>
      </c>
      <c r="G35" t="s">
        <v>13</v>
      </c>
      <c r="H35" s="1">
        <v>45129</v>
      </c>
      <c r="I35" s="1">
        <v>45134</v>
      </c>
      <c r="J35" s="2">
        <v>23584.75</v>
      </c>
      <c r="K35" s="1" t="str">
        <f t="shared" si="1"/>
        <v>ok</v>
      </c>
      <c r="L35"/>
    </row>
    <row r="36" spans="1:12" x14ac:dyDescent="0.25">
      <c r="A36" t="s">
        <v>46</v>
      </c>
      <c r="B36">
        <v>35</v>
      </c>
      <c r="D36" t="str">
        <f t="shared" si="2"/>
        <v>0-18</v>
      </c>
      <c r="E36" t="str">
        <f t="shared" si="0"/>
        <v>Missing</v>
      </c>
      <c r="F36" t="s">
        <v>12</v>
      </c>
      <c r="G36" t="s">
        <v>20</v>
      </c>
      <c r="H36" s="1">
        <v>45018</v>
      </c>
      <c r="I36" s="1">
        <v>45020</v>
      </c>
      <c r="J36" s="2"/>
      <c r="K36" s="1" t="str">
        <f t="shared" si="1"/>
        <v>missing</v>
      </c>
      <c r="L36"/>
    </row>
    <row r="37" spans="1:12" x14ac:dyDescent="0.25">
      <c r="A37" t="s">
        <v>19</v>
      </c>
      <c r="B37">
        <v>36</v>
      </c>
      <c r="D37" t="str">
        <f t="shared" si="2"/>
        <v>0-18</v>
      </c>
      <c r="E37" t="str">
        <f t="shared" si="0"/>
        <v>Missing</v>
      </c>
      <c r="F37" t="s">
        <v>15</v>
      </c>
      <c r="G37" t="s">
        <v>13</v>
      </c>
      <c r="H37" s="1">
        <v>45008</v>
      </c>
      <c r="I37" s="1">
        <v>45016</v>
      </c>
      <c r="J37" s="2"/>
      <c r="K37" s="1" t="str">
        <f t="shared" si="1"/>
        <v>missing</v>
      </c>
      <c r="L37"/>
    </row>
    <row r="38" spans="1:12" x14ac:dyDescent="0.25">
      <c r="A38" t="s">
        <v>47</v>
      </c>
      <c r="B38">
        <v>37</v>
      </c>
      <c r="C38">
        <v>11</v>
      </c>
      <c r="D38" t="str">
        <f t="shared" si="2"/>
        <v>0-18</v>
      </c>
      <c r="E38" t="str">
        <f t="shared" si="0"/>
        <v>Ok</v>
      </c>
      <c r="F38" t="s">
        <v>15</v>
      </c>
      <c r="G38" t="s">
        <v>26</v>
      </c>
      <c r="H38" s="1">
        <v>45215</v>
      </c>
      <c r="I38" s="1">
        <v>45217</v>
      </c>
      <c r="J38" s="2"/>
      <c r="K38" s="1" t="str">
        <f t="shared" si="1"/>
        <v>missing</v>
      </c>
      <c r="L38"/>
    </row>
    <row r="39" spans="1:12" x14ac:dyDescent="0.25">
      <c r="A39" t="s">
        <v>48</v>
      </c>
      <c r="B39">
        <v>38</v>
      </c>
      <c r="D39" t="str">
        <f t="shared" si="2"/>
        <v>0-18</v>
      </c>
      <c r="E39" t="str">
        <f t="shared" si="0"/>
        <v>Missing</v>
      </c>
      <c r="F39" t="s">
        <v>12</v>
      </c>
      <c r="G39" t="s">
        <v>28</v>
      </c>
      <c r="H39" s="1">
        <v>45199</v>
      </c>
      <c r="I39" s="1">
        <v>45209</v>
      </c>
      <c r="J39" s="2">
        <v>28495.3</v>
      </c>
      <c r="K39" s="1" t="str">
        <f t="shared" si="1"/>
        <v>ok</v>
      </c>
      <c r="L39"/>
    </row>
    <row r="40" spans="1:12" x14ac:dyDescent="0.25">
      <c r="A40" t="s">
        <v>49</v>
      </c>
      <c r="B40">
        <v>39</v>
      </c>
      <c r="C40">
        <v>76</v>
      </c>
      <c r="D40" t="str">
        <f t="shared" si="2"/>
        <v>56+</v>
      </c>
      <c r="E40" t="str">
        <f t="shared" si="0"/>
        <v>Ok</v>
      </c>
      <c r="F40" t="s">
        <v>12</v>
      </c>
      <c r="G40" t="s">
        <v>28</v>
      </c>
      <c r="H40" s="1">
        <v>45117</v>
      </c>
      <c r="I40" s="1">
        <v>45121</v>
      </c>
      <c r="J40" s="2"/>
      <c r="K40" s="1" t="str">
        <f t="shared" si="1"/>
        <v>missing</v>
      </c>
      <c r="L40"/>
    </row>
    <row r="41" spans="1:12" x14ac:dyDescent="0.25">
      <c r="A41" t="s">
        <v>11</v>
      </c>
      <c r="B41">
        <v>40</v>
      </c>
      <c r="C41">
        <v>54</v>
      </c>
      <c r="D41" t="str">
        <f t="shared" si="2"/>
        <v>36-55</v>
      </c>
      <c r="E41" t="str">
        <f t="shared" si="0"/>
        <v>Ok</v>
      </c>
      <c r="F41" t="s">
        <v>12</v>
      </c>
      <c r="G41" t="s">
        <v>28</v>
      </c>
      <c r="H41" s="1">
        <v>45042</v>
      </c>
      <c r="I41" s="1">
        <v>45044</v>
      </c>
      <c r="J41" s="2"/>
      <c r="K41" s="1" t="str">
        <f t="shared" si="1"/>
        <v>missing</v>
      </c>
      <c r="L41"/>
    </row>
    <row r="42" spans="1:12" x14ac:dyDescent="0.25">
      <c r="A42" t="s">
        <v>39</v>
      </c>
      <c r="B42">
        <v>41</v>
      </c>
      <c r="D42" t="str">
        <f t="shared" si="2"/>
        <v>0-18</v>
      </c>
      <c r="E42" t="str">
        <f t="shared" si="0"/>
        <v>Missing</v>
      </c>
      <c r="F42" t="s">
        <v>15</v>
      </c>
      <c r="G42" t="s">
        <v>16</v>
      </c>
      <c r="H42" s="1">
        <v>45286</v>
      </c>
      <c r="I42" s="1">
        <v>45295</v>
      </c>
      <c r="J42" s="2"/>
      <c r="K42" s="1" t="str">
        <f t="shared" si="1"/>
        <v>missing</v>
      </c>
      <c r="L42"/>
    </row>
    <row r="43" spans="1:12" x14ac:dyDescent="0.25">
      <c r="A43" t="s">
        <v>50</v>
      </c>
      <c r="B43">
        <v>42</v>
      </c>
      <c r="C43">
        <v>40</v>
      </c>
      <c r="D43" t="str">
        <f t="shared" si="2"/>
        <v>36-55</v>
      </c>
      <c r="E43" t="str">
        <f t="shared" si="0"/>
        <v>Ok</v>
      </c>
      <c r="F43" t="s">
        <v>12</v>
      </c>
      <c r="G43" t="s">
        <v>13</v>
      </c>
      <c r="H43" s="1">
        <v>45277</v>
      </c>
      <c r="I43" s="1">
        <v>45282</v>
      </c>
      <c r="J43" s="2"/>
      <c r="K43" s="1" t="str">
        <f t="shared" si="1"/>
        <v>missing</v>
      </c>
      <c r="L43"/>
    </row>
    <row r="44" spans="1:12" x14ac:dyDescent="0.25">
      <c r="A44" t="s">
        <v>51</v>
      </c>
      <c r="B44">
        <v>43</v>
      </c>
      <c r="D44" t="str">
        <f t="shared" si="2"/>
        <v>0-18</v>
      </c>
      <c r="E44" t="str">
        <f t="shared" si="0"/>
        <v>Missing</v>
      </c>
      <c r="F44" t="s">
        <v>12</v>
      </c>
      <c r="G44" t="s">
        <v>20</v>
      </c>
      <c r="H44" s="1">
        <v>45078</v>
      </c>
      <c r="I44" s="1">
        <v>45086</v>
      </c>
      <c r="J44" s="2"/>
      <c r="K44" s="1" t="str">
        <f t="shared" si="1"/>
        <v>missing</v>
      </c>
      <c r="L44"/>
    </row>
    <row r="45" spans="1:12" x14ac:dyDescent="0.25">
      <c r="A45" t="s">
        <v>52</v>
      </c>
      <c r="B45">
        <v>44</v>
      </c>
      <c r="C45">
        <v>61</v>
      </c>
      <c r="D45" t="str">
        <f t="shared" si="2"/>
        <v>56+</v>
      </c>
      <c r="E45" t="str">
        <f t="shared" si="0"/>
        <v>Ok</v>
      </c>
      <c r="F45" t="s">
        <v>15</v>
      </c>
      <c r="G45" t="s">
        <v>16</v>
      </c>
      <c r="H45" s="1">
        <v>45068</v>
      </c>
      <c r="I45" s="1">
        <v>45072</v>
      </c>
      <c r="J45" s="2">
        <v>13591.42</v>
      </c>
      <c r="K45" s="1" t="str">
        <f t="shared" si="1"/>
        <v>ok</v>
      </c>
      <c r="L45"/>
    </row>
    <row r="46" spans="1:12" x14ac:dyDescent="0.25">
      <c r="A46" t="s">
        <v>46</v>
      </c>
      <c r="B46">
        <v>45</v>
      </c>
      <c r="D46" t="str">
        <f t="shared" si="2"/>
        <v>0-18</v>
      </c>
      <c r="E46" t="str">
        <f t="shared" si="0"/>
        <v>Missing</v>
      </c>
      <c r="F46" t="s">
        <v>12</v>
      </c>
      <c r="G46" t="s">
        <v>20</v>
      </c>
      <c r="H46" s="1">
        <v>45007</v>
      </c>
      <c r="I46" s="1">
        <v>45016</v>
      </c>
      <c r="J46" s="2">
        <v>7585.24</v>
      </c>
      <c r="K46" s="1" t="str">
        <f t="shared" si="1"/>
        <v>ok</v>
      </c>
      <c r="L46"/>
    </row>
    <row r="47" spans="1:12" x14ac:dyDescent="0.25">
      <c r="A47" t="s">
        <v>40</v>
      </c>
      <c r="B47">
        <v>46</v>
      </c>
      <c r="D47" t="str">
        <f t="shared" si="2"/>
        <v>0-18</v>
      </c>
      <c r="E47" t="str">
        <f t="shared" si="0"/>
        <v>Missing</v>
      </c>
      <c r="F47" t="s">
        <v>15</v>
      </c>
      <c r="G47" t="s">
        <v>13</v>
      </c>
      <c r="H47" s="1">
        <v>44955</v>
      </c>
      <c r="I47" s="1">
        <v>44962</v>
      </c>
      <c r="J47" s="2">
        <v>26958.42</v>
      </c>
      <c r="K47" s="1" t="str">
        <f t="shared" si="1"/>
        <v>ok</v>
      </c>
      <c r="L47"/>
    </row>
    <row r="48" spans="1:12" x14ac:dyDescent="0.25">
      <c r="A48" t="s">
        <v>52</v>
      </c>
      <c r="B48">
        <v>47</v>
      </c>
      <c r="C48">
        <v>48</v>
      </c>
      <c r="D48" t="str">
        <f t="shared" si="2"/>
        <v>36-55</v>
      </c>
      <c r="E48" t="str">
        <f t="shared" si="0"/>
        <v>Ok</v>
      </c>
      <c r="F48" t="s">
        <v>15</v>
      </c>
      <c r="G48" t="s">
        <v>26</v>
      </c>
      <c r="H48" s="1">
        <v>45251</v>
      </c>
      <c r="I48" s="1">
        <v>45258</v>
      </c>
      <c r="J48" s="2">
        <v>24199.17</v>
      </c>
      <c r="K48" s="1" t="str">
        <f t="shared" si="1"/>
        <v>ok</v>
      </c>
      <c r="L48"/>
    </row>
    <row r="49" spans="1:12" x14ac:dyDescent="0.25">
      <c r="A49" t="s">
        <v>18</v>
      </c>
      <c r="B49">
        <v>48</v>
      </c>
      <c r="D49" t="str">
        <f t="shared" si="2"/>
        <v>0-18</v>
      </c>
      <c r="E49" t="str">
        <f t="shared" si="0"/>
        <v>Missing</v>
      </c>
      <c r="F49" t="s">
        <v>15</v>
      </c>
      <c r="G49" t="s">
        <v>33</v>
      </c>
      <c r="H49" s="1">
        <v>44942</v>
      </c>
      <c r="I49" s="1">
        <v>44946</v>
      </c>
      <c r="J49" s="2">
        <v>2356.3000000000002</v>
      </c>
      <c r="K49" s="1" t="str">
        <f t="shared" si="1"/>
        <v>ok</v>
      </c>
      <c r="L49"/>
    </row>
    <row r="50" spans="1:12" x14ac:dyDescent="0.25">
      <c r="A50" t="s">
        <v>53</v>
      </c>
      <c r="B50">
        <v>49</v>
      </c>
      <c r="C50">
        <v>24</v>
      </c>
      <c r="D50" t="str">
        <f t="shared" si="2"/>
        <v>19-35</v>
      </c>
      <c r="E50" t="str">
        <f t="shared" si="0"/>
        <v>Ok</v>
      </c>
      <c r="F50" t="s">
        <v>15</v>
      </c>
      <c r="G50" t="s">
        <v>26</v>
      </c>
      <c r="H50" s="1">
        <v>45279</v>
      </c>
      <c r="I50" s="1">
        <v>45283</v>
      </c>
      <c r="J50" s="2"/>
      <c r="K50" s="1" t="str">
        <f t="shared" si="1"/>
        <v>missing</v>
      </c>
      <c r="L50"/>
    </row>
    <row r="51" spans="1:12" x14ac:dyDescent="0.25">
      <c r="A51" t="s">
        <v>23</v>
      </c>
      <c r="B51">
        <v>50</v>
      </c>
      <c r="C51">
        <v>51</v>
      </c>
      <c r="D51" t="str">
        <f t="shared" si="2"/>
        <v>36-55</v>
      </c>
      <c r="E51" t="str">
        <f t="shared" si="0"/>
        <v>Ok</v>
      </c>
      <c r="F51" t="s">
        <v>12</v>
      </c>
      <c r="G51" t="s">
        <v>13</v>
      </c>
      <c r="H51" s="1">
        <v>45097</v>
      </c>
      <c r="I51" s="1">
        <v>45099</v>
      </c>
      <c r="J51" s="2"/>
      <c r="K51" s="1" t="str">
        <f t="shared" si="1"/>
        <v>missing</v>
      </c>
      <c r="L51"/>
    </row>
    <row r="52" spans="1:12" x14ac:dyDescent="0.25">
      <c r="A52" t="s">
        <v>54</v>
      </c>
      <c r="B52">
        <v>51</v>
      </c>
      <c r="C52">
        <v>66</v>
      </c>
      <c r="D52" t="str">
        <f t="shared" si="2"/>
        <v>56+</v>
      </c>
      <c r="E52" t="str">
        <f t="shared" si="0"/>
        <v>Ok</v>
      </c>
      <c r="F52" t="s">
        <v>12</v>
      </c>
      <c r="G52" t="s">
        <v>16</v>
      </c>
      <c r="H52" s="1">
        <v>44971</v>
      </c>
      <c r="I52" s="1">
        <v>44976</v>
      </c>
      <c r="J52" s="2"/>
      <c r="K52" s="1" t="str">
        <f t="shared" si="1"/>
        <v>missing</v>
      </c>
      <c r="L52"/>
    </row>
    <row r="53" spans="1:12" x14ac:dyDescent="0.25">
      <c r="A53" t="s">
        <v>31</v>
      </c>
      <c r="B53">
        <v>52</v>
      </c>
      <c r="D53" t="str">
        <f t="shared" si="2"/>
        <v>0-18</v>
      </c>
      <c r="E53" t="str">
        <f t="shared" si="0"/>
        <v>Missing</v>
      </c>
      <c r="F53" t="s">
        <v>15</v>
      </c>
      <c r="G53" t="s">
        <v>33</v>
      </c>
      <c r="H53" s="1">
        <v>45225</v>
      </c>
      <c r="I53" s="1">
        <v>45234</v>
      </c>
      <c r="J53" s="2"/>
      <c r="K53" s="1" t="str">
        <f t="shared" si="1"/>
        <v>missing</v>
      </c>
      <c r="L53"/>
    </row>
    <row r="54" spans="1:12" x14ac:dyDescent="0.25">
      <c r="A54" t="s">
        <v>55</v>
      </c>
      <c r="B54">
        <v>53</v>
      </c>
      <c r="C54">
        <v>22</v>
      </c>
      <c r="D54" t="str">
        <f t="shared" si="2"/>
        <v>19-35</v>
      </c>
      <c r="E54" t="str">
        <f t="shared" si="0"/>
        <v>Ok</v>
      </c>
      <c r="F54" t="s">
        <v>15</v>
      </c>
      <c r="G54" t="s">
        <v>16</v>
      </c>
      <c r="H54" s="1">
        <v>44958</v>
      </c>
      <c r="I54" s="1">
        <v>44964</v>
      </c>
      <c r="J54" s="2"/>
      <c r="K54" s="1" t="str">
        <f t="shared" si="1"/>
        <v>missing</v>
      </c>
      <c r="L54"/>
    </row>
    <row r="55" spans="1:12" x14ac:dyDescent="0.25">
      <c r="A55" t="s">
        <v>56</v>
      </c>
      <c r="B55">
        <v>54</v>
      </c>
      <c r="C55">
        <v>5</v>
      </c>
      <c r="D55" t="str">
        <f t="shared" si="2"/>
        <v>0-18</v>
      </c>
      <c r="E55" t="str">
        <f t="shared" si="0"/>
        <v>Ok</v>
      </c>
      <c r="F55" t="s">
        <v>15</v>
      </c>
      <c r="G55" t="s">
        <v>20</v>
      </c>
      <c r="H55" s="1">
        <v>45230</v>
      </c>
      <c r="I55" s="1">
        <v>45233</v>
      </c>
      <c r="J55" s="2"/>
      <c r="K55" s="1" t="str">
        <f t="shared" si="1"/>
        <v>missing</v>
      </c>
      <c r="L55"/>
    </row>
    <row r="56" spans="1:12" x14ac:dyDescent="0.25">
      <c r="A56" t="s">
        <v>57</v>
      </c>
      <c r="B56">
        <v>55</v>
      </c>
      <c r="D56" t="str">
        <f t="shared" si="2"/>
        <v>0-18</v>
      </c>
      <c r="E56" t="str">
        <f t="shared" si="0"/>
        <v>Missing</v>
      </c>
      <c r="F56" t="s">
        <v>12</v>
      </c>
      <c r="G56" t="s">
        <v>26</v>
      </c>
      <c r="H56" s="1">
        <v>45108</v>
      </c>
      <c r="I56" s="1">
        <v>45112</v>
      </c>
      <c r="J56" s="2">
        <v>42643.49</v>
      </c>
      <c r="K56" s="1" t="str">
        <f t="shared" si="1"/>
        <v>ok</v>
      </c>
      <c r="L56"/>
    </row>
    <row r="57" spans="1:12" x14ac:dyDescent="0.25">
      <c r="A57" t="s">
        <v>58</v>
      </c>
      <c r="B57">
        <v>56</v>
      </c>
      <c r="D57" t="str">
        <f t="shared" si="2"/>
        <v>0-18</v>
      </c>
      <c r="E57" t="str">
        <f t="shared" si="0"/>
        <v>Missing</v>
      </c>
      <c r="F57" t="s">
        <v>12</v>
      </c>
      <c r="G57" t="s">
        <v>13</v>
      </c>
      <c r="H57" s="1">
        <v>45149</v>
      </c>
      <c r="I57" s="1">
        <v>45153</v>
      </c>
      <c r="J57" s="2"/>
      <c r="K57" s="1" t="str">
        <f t="shared" si="1"/>
        <v>missing</v>
      </c>
      <c r="L57"/>
    </row>
    <row r="58" spans="1:12" x14ac:dyDescent="0.25">
      <c r="A58" t="s">
        <v>11</v>
      </c>
      <c r="B58">
        <v>57</v>
      </c>
      <c r="C58">
        <v>62</v>
      </c>
      <c r="D58" t="str">
        <f t="shared" si="2"/>
        <v>56+</v>
      </c>
      <c r="E58" t="str">
        <f t="shared" si="0"/>
        <v>Ok</v>
      </c>
      <c r="F58" t="s">
        <v>12</v>
      </c>
      <c r="G58" t="s">
        <v>13</v>
      </c>
      <c r="H58" s="1">
        <v>44985</v>
      </c>
      <c r="I58" s="1">
        <v>44986</v>
      </c>
      <c r="J58" s="2">
        <v>39034.699999999997</v>
      </c>
      <c r="K58" s="1" t="str">
        <f t="shared" si="1"/>
        <v>ok</v>
      </c>
      <c r="L58"/>
    </row>
    <row r="59" spans="1:12" x14ac:dyDescent="0.25">
      <c r="A59" t="s">
        <v>14</v>
      </c>
      <c r="B59">
        <v>58</v>
      </c>
      <c r="D59" t="str">
        <f t="shared" si="2"/>
        <v>0-18</v>
      </c>
      <c r="E59" t="str">
        <f t="shared" si="0"/>
        <v>Missing</v>
      </c>
      <c r="F59" t="s">
        <v>15</v>
      </c>
      <c r="G59" t="s">
        <v>16</v>
      </c>
      <c r="H59" s="1">
        <v>44951</v>
      </c>
      <c r="I59" s="1">
        <v>44952</v>
      </c>
      <c r="J59" s="2"/>
      <c r="K59" s="1" t="str">
        <f t="shared" si="1"/>
        <v>missing</v>
      </c>
      <c r="L59"/>
    </row>
    <row r="60" spans="1:12" x14ac:dyDescent="0.25">
      <c r="A60" t="s">
        <v>43</v>
      </c>
      <c r="B60">
        <v>59</v>
      </c>
      <c r="D60" t="str">
        <f t="shared" si="2"/>
        <v>0-18</v>
      </c>
      <c r="E60" t="str">
        <f t="shared" si="0"/>
        <v>Missing</v>
      </c>
      <c r="F60" t="s">
        <v>12</v>
      </c>
      <c r="G60" t="s">
        <v>26</v>
      </c>
      <c r="H60" s="1">
        <v>44943</v>
      </c>
      <c r="I60" s="1">
        <v>44953</v>
      </c>
      <c r="J60" s="2"/>
      <c r="K60" s="1" t="str">
        <f t="shared" si="1"/>
        <v>missing</v>
      </c>
      <c r="L60"/>
    </row>
    <row r="61" spans="1:12" x14ac:dyDescent="0.25">
      <c r="A61" t="s">
        <v>42</v>
      </c>
      <c r="B61">
        <v>60</v>
      </c>
      <c r="D61" t="str">
        <f t="shared" si="2"/>
        <v>0-18</v>
      </c>
      <c r="E61" t="str">
        <f t="shared" si="0"/>
        <v>Missing</v>
      </c>
      <c r="F61" t="s">
        <v>15</v>
      </c>
      <c r="G61" t="s">
        <v>26</v>
      </c>
      <c r="H61" s="1">
        <v>45133</v>
      </c>
      <c r="I61" s="1">
        <v>45142</v>
      </c>
      <c r="J61" s="2">
        <v>35337.75</v>
      </c>
      <c r="K61" s="1" t="str">
        <f t="shared" si="1"/>
        <v>ok</v>
      </c>
      <c r="L61"/>
    </row>
    <row r="62" spans="1:12" x14ac:dyDescent="0.25">
      <c r="A62" t="s">
        <v>42</v>
      </c>
      <c r="B62">
        <v>61</v>
      </c>
      <c r="D62" t="str">
        <f t="shared" si="2"/>
        <v>0-18</v>
      </c>
      <c r="E62" t="str">
        <f t="shared" si="0"/>
        <v>Missing</v>
      </c>
      <c r="F62" t="s">
        <v>15</v>
      </c>
      <c r="G62" t="s">
        <v>28</v>
      </c>
      <c r="H62" s="1">
        <v>45171</v>
      </c>
      <c r="I62" s="1">
        <v>45174</v>
      </c>
      <c r="J62" s="2">
        <v>3511.23</v>
      </c>
      <c r="K62" s="1" t="str">
        <f t="shared" si="1"/>
        <v>ok</v>
      </c>
      <c r="L62"/>
    </row>
    <row r="63" spans="1:12" x14ac:dyDescent="0.25">
      <c r="A63" t="s">
        <v>54</v>
      </c>
      <c r="B63">
        <v>62</v>
      </c>
      <c r="D63" t="str">
        <f t="shared" si="2"/>
        <v>0-18</v>
      </c>
      <c r="E63" t="str">
        <f t="shared" si="0"/>
        <v>Missing</v>
      </c>
      <c r="F63" t="s">
        <v>12</v>
      </c>
      <c r="G63" t="s">
        <v>13</v>
      </c>
      <c r="H63" s="1">
        <v>45124</v>
      </c>
      <c r="I63" s="1">
        <v>45134</v>
      </c>
      <c r="J63" s="2"/>
      <c r="K63" s="1" t="str">
        <f t="shared" si="1"/>
        <v>missing</v>
      </c>
      <c r="L63"/>
    </row>
    <row r="64" spans="1:12" x14ac:dyDescent="0.25">
      <c r="A64" t="s">
        <v>45</v>
      </c>
      <c r="B64">
        <v>63</v>
      </c>
      <c r="C64">
        <v>68</v>
      </c>
      <c r="D64" t="str">
        <f t="shared" si="2"/>
        <v>56+</v>
      </c>
      <c r="E64" t="str">
        <f t="shared" si="0"/>
        <v>Ok</v>
      </c>
      <c r="F64" t="s">
        <v>12</v>
      </c>
      <c r="G64" t="s">
        <v>16</v>
      </c>
      <c r="H64" s="1">
        <v>44995</v>
      </c>
      <c r="I64" s="1">
        <v>45004</v>
      </c>
      <c r="J64" s="2">
        <v>9456.41</v>
      </c>
      <c r="K64" s="1" t="str">
        <f t="shared" si="1"/>
        <v>ok</v>
      </c>
      <c r="L64"/>
    </row>
    <row r="65" spans="1:12" x14ac:dyDescent="0.25">
      <c r="A65" t="s">
        <v>22</v>
      </c>
      <c r="B65">
        <v>64</v>
      </c>
      <c r="D65" t="str">
        <f t="shared" si="2"/>
        <v>0-18</v>
      </c>
      <c r="E65" t="str">
        <f t="shared" si="0"/>
        <v>Missing</v>
      </c>
      <c r="F65" t="s">
        <v>15</v>
      </c>
      <c r="G65" t="s">
        <v>13</v>
      </c>
      <c r="H65" s="1">
        <v>45003</v>
      </c>
      <c r="I65" s="1">
        <v>45013</v>
      </c>
      <c r="J65" s="2">
        <v>45295.77</v>
      </c>
      <c r="K65" s="1" t="str">
        <f t="shared" si="1"/>
        <v>ok</v>
      </c>
      <c r="L65"/>
    </row>
    <row r="66" spans="1:12" x14ac:dyDescent="0.25">
      <c r="A66" t="s">
        <v>32</v>
      </c>
      <c r="B66">
        <v>65</v>
      </c>
      <c r="D66" t="str">
        <f t="shared" si="2"/>
        <v>0-18</v>
      </c>
      <c r="E66" t="str">
        <f t="shared" ref="E66:E97" si="3">IF(C66="", "Missing", IF(C66&lt;5, "Check", "Ok"))</f>
        <v>Missing</v>
      </c>
      <c r="F66" t="s">
        <v>15</v>
      </c>
      <c r="G66" t="s">
        <v>13</v>
      </c>
      <c r="H66" s="1">
        <v>45215</v>
      </c>
      <c r="I66" s="1">
        <v>45216</v>
      </c>
      <c r="J66" s="2"/>
      <c r="K66" s="1" t="str">
        <f t="shared" ref="K66:K101" si="4">IF(J66="","missing","ok")</f>
        <v>missing</v>
      </c>
      <c r="L66"/>
    </row>
    <row r="67" spans="1:12" x14ac:dyDescent="0.25">
      <c r="A67" t="s">
        <v>29</v>
      </c>
      <c r="B67">
        <v>66</v>
      </c>
      <c r="D67" t="str">
        <f t="shared" ref="D67:D101" si="5">IF(C67="Missing","Unknown",
IF(C67&lt;=18,"0-18",
IF(C67&lt;=35,"19-35",
IF(C67&lt;=55,"36-55","56+"))))</f>
        <v>0-18</v>
      </c>
      <c r="E67" t="str">
        <f t="shared" si="3"/>
        <v>Missing</v>
      </c>
      <c r="F67" t="s">
        <v>12</v>
      </c>
      <c r="G67" t="s">
        <v>13</v>
      </c>
      <c r="H67" s="1">
        <v>45228</v>
      </c>
      <c r="I67" s="1">
        <v>45237</v>
      </c>
      <c r="J67" s="2"/>
      <c r="K67" s="1" t="str">
        <f t="shared" si="4"/>
        <v>missing</v>
      </c>
      <c r="L67"/>
    </row>
    <row r="68" spans="1:12" x14ac:dyDescent="0.25">
      <c r="A68" t="s">
        <v>47</v>
      </c>
      <c r="B68">
        <v>67</v>
      </c>
      <c r="C68">
        <v>45</v>
      </c>
      <c r="D68" t="str">
        <f t="shared" si="5"/>
        <v>36-55</v>
      </c>
      <c r="E68" t="str">
        <f t="shared" si="3"/>
        <v>Ok</v>
      </c>
      <c r="F68" t="s">
        <v>15</v>
      </c>
      <c r="G68" t="s">
        <v>13</v>
      </c>
      <c r="H68" s="1">
        <v>45085</v>
      </c>
      <c r="I68" s="1">
        <v>45095</v>
      </c>
      <c r="J68" s="2"/>
      <c r="K68" s="1" t="str">
        <f t="shared" si="4"/>
        <v>missing</v>
      </c>
      <c r="L68"/>
    </row>
    <row r="69" spans="1:12" x14ac:dyDescent="0.25">
      <c r="A69" t="s">
        <v>56</v>
      </c>
      <c r="B69">
        <v>68</v>
      </c>
      <c r="C69">
        <v>75</v>
      </c>
      <c r="D69" t="str">
        <f t="shared" si="5"/>
        <v>56+</v>
      </c>
      <c r="E69" t="str">
        <f t="shared" si="3"/>
        <v>Ok</v>
      </c>
      <c r="F69" t="s">
        <v>15</v>
      </c>
      <c r="G69" t="s">
        <v>13</v>
      </c>
      <c r="H69" s="1">
        <v>45189</v>
      </c>
      <c r="I69" s="1">
        <v>45191</v>
      </c>
      <c r="J69" s="2">
        <v>48829.91</v>
      </c>
      <c r="K69" s="1" t="str">
        <f t="shared" si="4"/>
        <v>ok</v>
      </c>
      <c r="L69"/>
    </row>
    <row r="70" spans="1:12" x14ac:dyDescent="0.25">
      <c r="A70" t="s">
        <v>53</v>
      </c>
      <c r="B70">
        <v>69</v>
      </c>
      <c r="D70" t="str">
        <f t="shared" si="5"/>
        <v>0-18</v>
      </c>
      <c r="E70" t="str">
        <f t="shared" si="3"/>
        <v>Missing</v>
      </c>
      <c r="F70" t="s">
        <v>15</v>
      </c>
      <c r="G70" t="s">
        <v>13</v>
      </c>
      <c r="H70" s="1">
        <v>44970</v>
      </c>
      <c r="I70" s="1">
        <v>44971</v>
      </c>
      <c r="J70" s="2"/>
      <c r="K70" s="1" t="str">
        <f t="shared" si="4"/>
        <v>missing</v>
      </c>
      <c r="L70"/>
    </row>
    <row r="71" spans="1:12" x14ac:dyDescent="0.25">
      <c r="A71" t="s">
        <v>49</v>
      </c>
      <c r="B71">
        <v>70</v>
      </c>
      <c r="D71" t="str">
        <f t="shared" si="5"/>
        <v>0-18</v>
      </c>
      <c r="E71" t="str">
        <f t="shared" si="3"/>
        <v>Missing</v>
      </c>
      <c r="F71" t="s">
        <v>12</v>
      </c>
      <c r="G71" t="s">
        <v>33</v>
      </c>
      <c r="H71" s="1">
        <v>45059</v>
      </c>
      <c r="I71" s="1">
        <v>45061</v>
      </c>
      <c r="J71" s="2"/>
      <c r="K71" s="1" t="str">
        <f t="shared" si="4"/>
        <v>missing</v>
      </c>
      <c r="L71"/>
    </row>
    <row r="72" spans="1:12" x14ac:dyDescent="0.25">
      <c r="A72" t="s">
        <v>17</v>
      </c>
      <c r="B72">
        <v>71</v>
      </c>
      <c r="D72" t="str">
        <f t="shared" si="5"/>
        <v>0-18</v>
      </c>
      <c r="E72" t="str">
        <f t="shared" si="3"/>
        <v>Missing</v>
      </c>
      <c r="F72" t="s">
        <v>12</v>
      </c>
      <c r="G72" t="s">
        <v>20</v>
      </c>
      <c r="H72" s="1">
        <v>44981</v>
      </c>
      <c r="I72" s="1">
        <v>44987</v>
      </c>
      <c r="J72" s="2"/>
      <c r="K72" s="1" t="str">
        <f t="shared" si="4"/>
        <v>missing</v>
      </c>
      <c r="L72"/>
    </row>
    <row r="73" spans="1:12" x14ac:dyDescent="0.25">
      <c r="A73" t="s">
        <v>24</v>
      </c>
      <c r="B73">
        <v>72</v>
      </c>
      <c r="C73">
        <v>71</v>
      </c>
      <c r="D73" t="str">
        <f t="shared" si="5"/>
        <v>56+</v>
      </c>
      <c r="E73" t="str">
        <f t="shared" si="3"/>
        <v>Ok</v>
      </c>
      <c r="F73" t="s">
        <v>12</v>
      </c>
      <c r="G73" t="s">
        <v>28</v>
      </c>
      <c r="H73" s="1">
        <v>45223</v>
      </c>
      <c r="I73" s="1">
        <v>45229</v>
      </c>
      <c r="J73" s="2"/>
      <c r="K73" s="1" t="str">
        <f t="shared" si="4"/>
        <v>missing</v>
      </c>
      <c r="L73"/>
    </row>
    <row r="74" spans="1:12" x14ac:dyDescent="0.25">
      <c r="A74" t="s">
        <v>59</v>
      </c>
      <c r="B74">
        <v>73</v>
      </c>
      <c r="C74">
        <v>77</v>
      </c>
      <c r="D74" t="str">
        <f t="shared" si="5"/>
        <v>56+</v>
      </c>
      <c r="E74" t="str">
        <f t="shared" si="3"/>
        <v>Ok</v>
      </c>
      <c r="F74" t="s">
        <v>15</v>
      </c>
      <c r="G74" t="s">
        <v>33</v>
      </c>
      <c r="H74" s="1">
        <v>45158</v>
      </c>
      <c r="I74" s="1">
        <v>45160</v>
      </c>
      <c r="J74" s="2"/>
      <c r="K74" s="1" t="str">
        <f t="shared" si="4"/>
        <v>missing</v>
      </c>
      <c r="L74"/>
    </row>
    <row r="75" spans="1:12" x14ac:dyDescent="0.25">
      <c r="A75" t="s">
        <v>52</v>
      </c>
      <c r="B75">
        <v>74</v>
      </c>
      <c r="C75">
        <v>39</v>
      </c>
      <c r="D75" t="str">
        <f t="shared" si="5"/>
        <v>36-55</v>
      </c>
      <c r="E75" t="str">
        <f t="shared" si="3"/>
        <v>Ok</v>
      </c>
      <c r="F75" t="s">
        <v>15</v>
      </c>
      <c r="G75" t="s">
        <v>28</v>
      </c>
      <c r="H75" s="1">
        <v>45000</v>
      </c>
      <c r="I75" s="1">
        <v>45005</v>
      </c>
      <c r="J75" s="2"/>
      <c r="K75" s="1" t="str">
        <f t="shared" si="4"/>
        <v>missing</v>
      </c>
      <c r="L75"/>
    </row>
    <row r="76" spans="1:12" x14ac:dyDescent="0.25">
      <c r="A76" t="s">
        <v>42</v>
      </c>
      <c r="B76">
        <v>75</v>
      </c>
      <c r="D76" t="str">
        <f t="shared" si="5"/>
        <v>0-18</v>
      </c>
      <c r="E76" t="str">
        <f t="shared" si="3"/>
        <v>Missing</v>
      </c>
      <c r="F76" t="s">
        <v>15</v>
      </c>
      <c r="G76" t="s">
        <v>20</v>
      </c>
      <c r="H76" s="1">
        <v>45185</v>
      </c>
      <c r="I76" s="1">
        <v>45191</v>
      </c>
      <c r="J76" s="2">
        <v>38280</v>
      </c>
      <c r="K76" s="1" t="str">
        <f t="shared" si="4"/>
        <v>ok</v>
      </c>
      <c r="L76"/>
    </row>
    <row r="77" spans="1:12" x14ac:dyDescent="0.25">
      <c r="A77" t="s">
        <v>59</v>
      </c>
      <c r="B77">
        <v>76</v>
      </c>
      <c r="C77">
        <v>26</v>
      </c>
      <c r="D77" t="str">
        <f t="shared" si="5"/>
        <v>19-35</v>
      </c>
      <c r="E77" t="str">
        <f t="shared" si="3"/>
        <v>Ok</v>
      </c>
      <c r="F77" t="s">
        <v>15</v>
      </c>
      <c r="G77" t="s">
        <v>13</v>
      </c>
      <c r="H77" s="1">
        <v>44955</v>
      </c>
      <c r="I77" s="1">
        <v>44962</v>
      </c>
      <c r="J77" s="2"/>
      <c r="K77" s="1" t="str">
        <f t="shared" si="4"/>
        <v>missing</v>
      </c>
      <c r="L77"/>
    </row>
    <row r="78" spans="1:12" x14ac:dyDescent="0.25">
      <c r="A78" t="s">
        <v>32</v>
      </c>
      <c r="B78">
        <v>77</v>
      </c>
      <c r="D78" t="str">
        <f t="shared" si="5"/>
        <v>0-18</v>
      </c>
      <c r="E78" t="str">
        <f t="shared" si="3"/>
        <v>Missing</v>
      </c>
      <c r="F78" t="s">
        <v>15</v>
      </c>
      <c r="G78" t="s">
        <v>28</v>
      </c>
      <c r="H78" s="1">
        <v>45127</v>
      </c>
      <c r="I78" s="1">
        <v>45136</v>
      </c>
      <c r="J78" s="2">
        <v>31318.61</v>
      </c>
      <c r="K78" s="1" t="str">
        <f t="shared" si="4"/>
        <v>ok</v>
      </c>
      <c r="L78"/>
    </row>
    <row r="79" spans="1:12" x14ac:dyDescent="0.25">
      <c r="A79" t="s">
        <v>57</v>
      </c>
      <c r="B79">
        <v>78</v>
      </c>
      <c r="D79" t="str">
        <f t="shared" si="5"/>
        <v>0-18</v>
      </c>
      <c r="E79" t="str">
        <f t="shared" si="3"/>
        <v>Missing</v>
      </c>
      <c r="F79" t="s">
        <v>12</v>
      </c>
      <c r="G79" t="s">
        <v>20</v>
      </c>
      <c r="H79" s="1">
        <v>44956</v>
      </c>
      <c r="I79" s="1">
        <v>44966</v>
      </c>
      <c r="J79" s="2"/>
      <c r="K79" s="1" t="str">
        <f t="shared" si="4"/>
        <v>missing</v>
      </c>
      <c r="L79"/>
    </row>
    <row r="80" spans="1:12" x14ac:dyDescent="0.25">
      <c r="A80" t="s">
        <v>11</v>
      </c>
      <c r="B80">
        <v>79</v>
      </c>
      <c r="D80" t="str">
        <f t="shared" si="5"/>
        <v>0-18</v>
      </c>
      <c r="E80" t="str">
        <f t="shared" si="3"/>
        <v>Missing</v>
      </c>
      <c r="F80" t="s">
        <v>12</v>
      </c>
      <c r="G80" t="s">
        <v>13</v>
      </c>
      <c r="H80" s="1">
        <v>44979</v>
      </c>
      <c r="I80" s="1">
        <v>44983</v>
      </c>
      <c r="J80" s="2"/>
      <c r="K80" s="1" t="str">
        <f t="shared" si="4"/>
        <v>missing</v>
      </c>
      <c r="L80"/>
    </row>
    <row r="81" spans="1:12" x14ac:dyDescent="0.25">
      <c r="A81" t="s">
        <v>60</v>
      </c>
      <c r="B81">
        <v>80</v>
      </c>
      <c r="C81">
        <v>47</v>
      </c>
      <c r="D81" t="str">
        <f t="shared" si="5"/>
        <v>36-55</v>
      </c>
      <c r="E81" t="str">
        <f t="shared" si="3"/>
        <v>Ok</v>
      </c>
      <c r="F81" t="s">
        <v>12</v>
      </c>
      <c r="G81" t="s">
        <v>26</v>
      </c>
      <c r="H81" s="1">
        <v>45138</v>
      </c>
      <c r="I81" s="1">
        <v>45142</v>
      </c>
      <c r="J81" s="2">
        <v>14974.84</v>
      </c>
      <c r="K81" s="1" t="str">
        <f t="shared" si="4"/>
        <v>ok</v>
      </c>
      <c r="L81"/>
    </row>
    <row r="82" spans="1:12" x14ac:dyDescent="0.25">
      <c r="A82" t="s">
        <v>36</v>
      </c>
      <c r="B82">
        <v>81</v>
      </c>
      <c r="D82" t="str">
        <f t="shared" si="5"/>
        <v>0-18</v>
      </c>
      <c r="E82" t="str">
        <f t="shared" si="3"/>
        <v>Missing</v>
      </c>
      <c r="F82" t="s">
        <v>12</v>
      </c>
      <c r="G82" t="s">
        <v>13</v>
      </c>
      <c r="H82" s="1">
        <v>45117</v>
      </c>
      <c r="I82" s="1">
        <v>45122</v>
      </c>
      <c r="J82" s="2">
        <v>19983.060000000001</v>
      </c>
      <c r="K82" s="1" t="str">
        <f t="shared" si="4"/>
        <v>ok</v>
      </c>
      <c r="L82"/>
    </row>
    <row r="83" spans="1:12" x14ac:dyDescent="0.25">
      <c r="A83" t="s">
        <v>41</v>
      </c>
      <c r="B83">
        <v>82</v>
      </c>
      <c r="D83" t="str">
        <f t="shared" si="5"/>
        <v>0-18</v>
      </c>
      <c r="E83" t="str">
        <f t="shared" si="3"/>
        <v>Missing</v>
      </c>
      <c r="F83" t="s">
        <v>15</v>
      </c>
      <c r="G83" t="s">
        <v>28</v>
      </c>
      <c r="H83" s="1">
        <v>45027</v>
      </c>
      <c r="I83" s="1">
        <v>45034</v>
      </c>
      <c r="J83" s="2"/>
      <c r="K83" s="1" t="str">
        <f t="shared" si="4"/>
        <v>missing</v>
      </c>
      <c r="L83"/>
    </row>
    <row r="84" spans="1:12" x14ac:dyDescent="0.25">
      <c r="A84" t="s">
        <v>46</v>
      </c>
      <c r="B84">
        <v>83</v>
      </c>
      <c r="D84" t="str">
        <f t="shared" si="5"/>
        <v>0-18</v>
      </c>
      <c r="E84" t="str">
        <f t="shared" si="3"/>
        <v>Missing</v>
      </c>
      <c r="F84" t="s">
        <v>12</v>
      </c>
      <c r="G84" t="s">
        <v>13</v>
      </c>
      <c r="H84" s="1">
        <v>45164</v>
      </c>
      <c r="I84" s="1">
        <v>45173</v>
      </c>
      <c r="J84" s="2"/>
      <c r="K84" s="1" t="str">
        <f t="shared" si="4"/>
        <v>missing</v>
      </c>
      <c r="L84"/>
    </row>
    <row r="85" spans="1:12" x14ac:dyDescent="0.25">
      <c r="A85" t="s">
        <v>39</v>
      </c>
      <c r="B85">
        <v>84</v>
      </c>
      <c r="D85" t="str">
        <f t="shared" si="5"/>
        <v>0-18</v>
      </c>
      <c r="E85" t="str">
        <f t="shared" si="3"/>
        <v>Missing</v>
      </c>
      <c r="F85" t="s">
        <v>15</v>
      </c>
      <c r="G85" t="s">
        <v>13</v>
      </c>
      <c r="H85" s="1">
        <v>45050</v>
      </c>
      <c r="I85" s="1">
        <v>45060</v>
      </c>
      <c r="J85" s="2"/>
      <c r="K85" s="1" t="str">
        <f t="shared" si="4"/>
        <v>missing</v>
      </c>
      <c r="L85"/>
    </row>
    <row r="86" spans="1:12" x14ac:dyDescent="0.25">
      <c r="A86" t="s">
        <v>11</v>
      </c>
      <c r="B86">
        <v>85</v>
      </c>
      <c r="C86">
        <v>47</v>
      </c>
      <c r="D86" t="str">
        <f t="shared" si="5"/>
        <v>36-55</v>
      </c>
      <c r="E86" t="str">
        <f t="shared" si="3"/>
        <v>Ok</v>
      </c>
      <c r="F86" t="s">
        <v>12</v>
      </c>
      <c r="G86" t="s">
        <v>16</v>
      </c>
      <c r="H86" s="1">
        <v>45008</v>
      </c>
      <c r="I86" s="1">
        <v>45011</v>
      </c>
      <c r="J86" s="2"/>
      <c r="K86" s="1" t="str">
        <f t="shared" si="4"/>
        <v>missing</v>
      </c>
      <c r="L86"/>
    </row>
    <row r="87" spans="1:12" x14ac:dyDescent="0.25">
      <c r="A87" t="s">
        <v>11</v>
      </c>
      <c r="B87">
        <v>86</v>
      </c>
      <c r="D87" t="str">
        <f t="shared" si="5"/>
        <v>0-18</v>
      </c>
      <c r="E87" t="str">
        <f t="shared" si="3"/>
        <v>Missing</v>
      </c>
      <c r="F87" t="s">
        <v>12</v>
      </c>
      <c r="G87" t="s">
        <v>26</v>
      </c>
      <c r="H87" s="1">
        <v>45178</v>
      </c>
      <c r="I87" s="1">
        <v>45180</v>
      </c>
      <c r="J87" s="2">
        <v>9375.59</v>
      </c>
      <c r="K87" s="1" t="str">
        <f t="shared" si="4"/>
        <v>ok</v>
      </c>
      <c r="L87"/>
    </row>
    <row r="88" spans="1:12" x14ac:dyDescent="0.25">
      <c r="A88" t="s">
        <v>61</v>
      </c>
      <c r="B88">
        <v>87</v>
      </c>
      <c r="D88" t="str">
        <f t="shared" si="5"/>
        <v>0-18</v>
      </c>
      <c r="E88" t="str">
        <f t="shared" si="3"/>
        <v>Missing</v>
      </c>
      <c r="F88" t="s">
        <v>15</v>
      </c>
      <c r="G88" t="s">
        <v>20</v>
      </c>
      <c r="H88" s="1">
        <v>45021</v>
      </c>
      <c r="I88" s="1">
        <v>45022</v>
      </c>
      <c r="J88" s="2">
        <v>47546.49</v>
      </c>
      <c r="K88" s="1" t="str">
        <f t="shared" si="4"/>
        <v>ok</v>
      </c>
      <c r="L88"/>
    </row>
    <row r="89" spans="1:12" x14ac:dyDescent="0.25">
      <c r="A89" t="s">
        <v>21</v>
      </c>
      <c r="B89">
        <v>88</v>
      </c>
      <c r="D89" t="str">
        <f t="shared" si="5"/>
        <v>0-18</v>
      </c>
      <c r="E89" t="str">
        <f t="shared" si="3"/>
        <v>Missing</v>
      </c>
      <c r="F89" t="s">
        <v>12</v>
      </c>
      <c r="G89" t="s">
        <v>28</v>
      </c>
      <c r="H89" s="1">
        <v>45108</v>
      </c>
      <c r="I89" s="1">
        <v>45117</v>
      </c>
      <c r="J89" s="2"/>
      <c r="K89" s="1" t="str">
        <f t="shared" si="4"/>
        <v>missing</v>
      </c>
      <c r="L89"/>
    </row>
    <row r="90" spans="1:12" x14ac:dyDescent="0.25">
      <c r="A90" t="s">
        <v>37</v>
      </c>
      <c r="B90">
        <v>89</v>
      </c>
      <c r="D90" t="str">
        <f t="shared" si="5"/>
        <v>0-18</v>
      </c>
      <c r="E90" t="str">
        <f t="shared" si="3"/>
        <v>Missing</v>
      </c>
      <c r="F90" t="s">
        <v>12</v>
      </c>
      <c r="G90" t="s">
        <v>13</v>
      </c>
      <c r="H90" s="1">
        <v>45210</v>
      </c>
      <c r="I90" s="1">
        <v>45215</v>
      </c>
      <c r="J90" s="2"/>
      <c r="K90" s="1" t="str">
        <f t="shared" si="4"/>
        <v>missing</v>
      </c>
      <c r="L90"/>
    </row>
    <row r="91" spans="1:12" x14ac:dyDescent="0.25">
      <c r="A91" t="s">
        <v>41</v>
      </c>
      <c r="B91">
        <v>90</v>
      </c>
      <c r="D91" t="str">
        <f t="shared" si="5"/>
        <v>0-18</v>
      </c>
      <c r="E91" t="str">
        <f t="shared" si="3"/>
        <v>Missing</v>
      </c>
      <c r="F91" t="s">
        <v>15</v>
      </c>
      <c r="G91" t="s">
        <v>28</v>
      </c>
      <c r="H91" s="1">
        <v>45026</v>
      </c>
      <c r="I91" s="1">
        <v>45028</v>
      </c>
      <c r="J91" s="2"/>
      <c r="K91" s="1" t="str">
        <f t="shared" si="4"/>
        <v>missing</v>
      </c>
      <c r="L91"/>
    </row>
    <row r="92" spans="1:12" x14ac:dyDescent="0.25">
      <c r="A92" t="s">
        <v>62</v>
      </c>
      <c r="B92">
        <v>91</v>
      </c>
      <c r="D92" t="str">
        <f t="shared" si="5"/>
        <v>0-18</v>
      </c>
      <c r="E92" t="str">
        <f t="shared" si="3"/>
        <v>Missing</v>
      </c>
      <c r="F92" t="s">
        <v>12</v>
      </c>
      <c r="G92" t="s">
        <v>33</v>
      </c>
      <c r="H92" s="1">
        <v>44948</v>
      </c>
      <c r="I92" s="1">
        <v>44957</v>
      </c>
      <c r="J92" s="2">
        <v>18641.18</v>
      </c>
      <c r="K92" s="1" t="str">
        <f t="shared" si="4"/>
        <v>ok</v>
      </c>
      <c r="L92"/>
    </row>
    <row r="93" spans="1:12" x14ac:dyDescent="0.25">
      <c r="A93" t="s">
        <v>62</v>
      </c>
      <c r="B93">
        <v>92</v>
      </c>
      <c r="D93" t="str">
        <f t="shared" si="5"/>
        <v>0-18</v>
      </c>
      <c r="E93" t="str">
        <f t="shared" si="3"/>
        <v>Missing</v>
      </c>
      <c r="F93" t="s">
        <v>12</v>
      </c>
      <c r="G93" t="s">
        <v>16</v>
      </c>
      <c r="H93" s="1">
        <v>45164</v>
      </c>
      <c r="I93" s="1">
        <v>45168</v>
      </c>
      <c r="J93" s="2">
        <v>25163.48</v>
      </c>
      <c r="K93" s="1" t="str">
        <f t="shared" si="4"/>
        <v>ok</v>
      </c>
      <c r="L93"/>
    </row>
    <row r="94" spans="1:12" x14ac:dyDescent="0.25">
      <c r="A94" t="s">
        <v>49</v>
      </c>
      <c r="B94">
        <v>93</v>
      </c>
      <c r="C94">
        <v>53</v>
      </c>
      <c r="D94" t="str">
        <f t="shared" si="5"/>
        <v>36-55</v>
      </c>
      <c r="E94" t="str">
        <f t="shared" si="3"/>
        <v>Ok</v>
      </c>
      <c r="F94" t="s">
        <v>12</v>
      </c>
      <c r="G94" t="s">
        <v>20</v>
      </c>
      <c r="H94" s="1">
        <v>44971</v>
      </c>
      <c r="I94" s="1">
        <v>44978</v>
      </c>
      <c r="J94" s="2">
        <v>27883.22</v>
      </c>
      <c r="K94" s="1" t="str">
        <f t="shared" si="4"/>
        <v>ok</v>
      </c>
      <c r="L94"/>
    </row>
    <row r="95" spans="1:12" x14ac:dyDescent="0.25">
      <c r="A95" t="s">
        <v>35</v>
      </c>
      <c r="B95">
        <v>94</v>
      </c>
      <c r="D95" t="str">
        <f t="shared" si="5"/>
        <v>0-18</v>
      </c>
      <c r="E95" t="str">
        <f t="shared" si="3"/>
        <v>Missing</v>
      </c>
      <c r="F95" t="s">
        <v>12</v>
      </c>
      <c r="G95" t="s">
        <v>33</v>
      </c>
      <c r="H95" s="1">
        <v>44938</v>
      </c>
      <c r="I95" s="1">
        <v>44944</v>
      </c>
      <c r="J95" s="2">
        <v>13276.08</v>
      </c>
      <c r="K95" s="1" t="str">
        <f t="shared" si="4"/>
        <v>ok</v>
      </c>
      <c r="L95"/>
    </row>
    <row r="96" spans="1:12" x14ac:dyDescent="0.25">
      <c r="A96" t="s">
        <v>63</v>
      </c>
      <c r="B96">
        <v>95</v>
      </c>
      <c r="D96" t="str">
        <f t="shared" si="5"/>
        <v>0-18</v>
      </c>
      <c r="E96" t="str">
        <f t="shared" si="3"/>
        <v>Missing</v>
      </c>
      <c r="F96" t="s">
        <v>15</v>
      </c>
      <c r="G96" t="s">
        <v>13</v>
      </c>
      <c r="H96" s="1">
        <v>45027</v>
      </c>
      <c r="I96" s="1">
        <v>45029</v>
      </c>
      <c r="J96" s="2"/>
      <c r="K96" s="1" t="str">
        <f t="shared" si="4"/>
        <v>missing</v>
      </c>
      <c r="L96"/>
    </row>
    <row r="97" spans="1:12" x14ac:dyDescent="0.25">
      <c r="A97" t="s">
        <v>21</v>
      </c>
      <c r="B97">
        <v>96</v>
      </c>
      <c r="D97" t="str">
        <f t="shared" si="5"/>
        <v>0-18</v>
      </c>
      <c r="E97" t="str">
        <f t="shared" si="3"/>
        <v>Missing</v>
      </c>
      <c r="F97" t="s">
        <v>12</v>
      </c>
      <c r="G97" t="s">
        <v>16</v>
      </c>
      <c r="H97" s="1">
        <v>45011</v>
      </c>
      <c r="I97" s="1">
        <v>45014</v>
      </c>
      <c r="J97" s="2">
        <v>41154.46</v>
      </c>
      <c r="K97" s="1" t="str">
        <f t="shared" si="4"/>
        <v>ok</v>
      </c>
      <c r="L97"/>
    </row>
    <row r="98" spans="1:12" x14ac:dyDescent="0.25">
      <c r="A98" t="s">
        <v>53</v>
      </c>
      <c r="B98">
        <v>97</v>
      </c>
      <c r="D98" t="str">
        <f t="shared" si="5"/>
        <v>0-18</v>
      </c>
      <c r="E98" t="str">
        <f>IF(C98="", "Missing", IF(C98&lt;5, "Check", "Ok"))</f>
        <v>Missing</v>
      </c>
      <c r="F98" t="s">
        <v>15</v>
      </c>
      <c r="G98" t="s">
        <v>33</v>
      </c>
      <c r="H98" s="1">
        <v>44963</v>
      </c>
      <c r="I98" s="1">
        <v>44967</v>
      </c>
      <c r="J98" s="2"/>
      <c r="K98" s="1" t="str">
        <f t="shared" si="4"/>
        <v>missing</v>
      </c>
      <c r="L98"/>
    </row>
    <row r="99" spans="1:12" x14ac:dyDescent="0.25">
      <c r="A99" t="s">
        <v>17</v>
      </c>
      <c r="B99">
        <v>98</v>
      </c>
      <c r="D99" t="str">
        <f t="shared" si="5"/>
        <v>0-18</v>
      </c>
      <c r="E99" t="str">
        <f>IF(C99="", "Missing", IF(C99&lt;5, "Check", "Ok"))</f>
        <v>Missing</v>
      </c>
      <c r="F99" t="s">
        <v>12</v>
      </c>
      <c r="G99" t="s">
        <v>28</v>
      </c>
      <c r="H99" s="1">
        <v>45169</v>
      </c>
      <c r="I99" s="1">
        <v>45170</v>
      </c>
      <c r="J99" s="2"/>
      <c r="K99" s="1" t="str">
        <f t="shared" si="4"/>
        <v>missing</v>
      </c>
      <c r="L99"/>
    </row>
    <row r="100" spans="1:12" x14ac:dyDescent="0.25">
      <c r="A100" t="s">
        <v>35</v>
      </c>
      <c r="B100">
        <v>99</v>
      </c>
      <c r="D100" t="str">
        <f t="shared" si="5"/>
        <v>0-18</v>
      </c>
      <c r="E100" t="str">
        <f>IF(C100="", "Missing", IF(C100&lt;5, "Check", "Ok"))</f>
        <v>Missing</v>
      </c>
      <c r="F100" t="s">
        <v>12</v>
      </c>
      <c r="G100" t="s">
        <v>20</v>
      </c>
      <c r="H100" s="1">
        <v>45244</v>
      </c>
      <c r="I100" s="1">
        <v>45250</v>
      </c>
      <c r="J100" s="2"/>
      <c r="K100" s="1" t="str">
        <f t="shared" si="4"/>
        <v>missing</v>
      </c>
      <c r="L100"/>
    </row>
    <row r="101" spans="1:12" x14ac:dyDescent="0.25">
      <c r="A101" t="s">
        <v>53</v>
      </c>
      <c r="B101">
        <v>100</v>
      </c>
      <c r="C101">
        <v>2</v>
      </c>
      <c r="D101" t="str">
        <f t="shared" si="5"/>
        <v>0-18</v>
      </c>
      <c r="E101" t="str">
        <f>IF(C101="", "Missing", IF(C101&lt;5, "Check", "Ok"))</f>
        <v>Check</v>
      </c>
      <c r="F101" t="s">
        <v>15</v>
      </c>
      <c r="G101" t="s">
        <v>13</v>
      </c>
      <c r="H101" s="1">
        <v>45025</v>
      </c>
      <c r="I101" s="1">
        <v>45030</v>
      </c>
      <c r="J101" s="2"/>
      <c r="K101" s="1" t="str">
        <f t="shared" si="4"/>
        <v>missing</v>
      </c>
      <c r="L101"/>
    </row>
    <row r="102" spans="1:12" x14ac:dyDescent="0.25">
      <c r="J102" s="2">
        <f>SUBTOTAL(109,Table1[Billing_amount])</f>
        <v>1042718.9099999999</v>
      </c>
      <c r="K102" s="1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CLEAN_patient_data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Princewill Sunnyotalor</dc:creator>
  <cp:lastModifiedBy>Princewill Sunnyotalor</cp:lastModifiedBy>
  <dcterms:created xsi:type="dcterms:W3CDTF">2026-05-07T11:48:00Z</dcterms:created>
  <dcterms:modified xsi:type="dcterms:W3CDTF">2026-05-07T11:48:54Z</dcterms:modified>
</cp:coreProperties>
</file>
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user\Desktop\Princewill Data\"/>
    </mc:Choice>
  </mc:AlternateContent>
  <xr:revisionPtr revIDLastSave="0" documentId="8_{3486AE59-CA30-408D-B744-06F804D45429}" xr6:coauthVersionLast="47" xr6:coauthVersionMax="47" xr10:uidLastSave="{00000000-0000-0000-0000-000000000000}"/>
  <bookViews>
    <workbookView xWindow="-120" yWindow="-120" windowWidth="20730" windowHeight="11160" tabRatio="715" activeTab="4" xr2:uid="{00000000-000D-0000-FFFF-FFFF00000000}"/>
  </bookViews>
  <sheets>
    <sheet name="Raw_patient_data" sheetId="1" r:id="rId1"/>
    <sheet name="CLEAN_patient_data" sheetId="3" r:id="rId2"/>
    <sheet name="Official_CLEAN_data_Power_Query" sheetId="4" r:id="rId3"/>
    <sheet name="Pivot_Table" sheetId="7" r:id="rId4"/>
    <sheet name="Dashboard" sheetId="6" r:id="rId5"/>
  </sheets>
  <definedNames>
    <definedName name="ExternalData_1" localSheetId="2" hidden="1">Official_CLEAN_data_Power_Query!$A$1:$K$102</definedName>
    <definedName name="Slicer_Diagnosis1">#N/A</definedName>
    <definedName name="Slicer_Gender1">#N/A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3" i="4" l="1"/>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J102" i="3"/>
  <c r="K101" i="3"/>
  <c r="K9" i="3"/>
  <c r="K17" i="3"/>
  <c r="K25" i="3"/>
  <c r="K33" i="3"/>
  <c r="K41" i="3"/>
  <c r="K49" i="3"/>
  <c r="K57" i="3"/>
  <c r="K65" i="3"/>
  <c r="K73" i="3"/>
  <c r="K81" i="3"/>
  <c r="K89" i="3"/>
  <c r="K97" i="3"/>
  <c r="K4" i="3"/>
  <c r="K5" i="3"/>
  <c r="K8" i="3"/>
  <c r="K12" i="3"/>
  <c r="K13" i="3"/>
  <c r="K16" i="3"/>
  <c r="K20" i="3"/>
  <c r="K21" i="3"/>
  <c r="K24" i="3"/>
  <c r="K28" i="3"/>
  <c r="K29" i="3"/>
  <c r="K32" i="3"/>
  <c r="K36" i="3"/>
  <c r="K37" i="3"/>
  <c r="K40" i="3"/>
  <c r="K44" i="3"/>
  <c r="K45" i="3"/>
  <c r="K48" i="3"/>
  <c r="K52" i="3"/>
  <c r="K53" i="3"/>
  <c r="K56" i="3"/>
  <c r="K60" i="3"/>
  <c r="K61" i="3"/>
  <c r="K64" i="3"/>
  <c r="K68" i="3"/>
  <c r="K69" i="3"/>
  <c r="K72" i="3"/>
  <c r="K76" i="3"/>
  <c r="K77" i="3"/>
  <c r="K80" i="3"/>
  <c r="K84" i="3"/>
  <c r="K85" i="3"/>
  <c r="K88" i="3"/>
  <c r="K92" i="3"/>
  <c r="K93" i="3"/>
  <c r="K96" i="3"/>
  <c r="K100" i="3"/>
  <c r="K2" i="3"/>
  <c r="K3" i="3"/>
  <c r="K6" i="3"/>
  <c r="K7" i="3"/>
  <c r="K10" i="3"/>
  <c r="K11" i="3"/>
  <c r="K14" i="3"/>
  <c r="K15" i="3"/>
  <c r="K18" i="3"/>
  <c r="K19" i="3"/>
  <c r="K22" i="3"/>
  <c r="K23" i="3"/>
  <c r="K26" i="3"/>
  <c r="K27" i="3"/>
  <c r="K30" i="3"/>
  <c r="K31" i="3"/>
  <c r="K34" i="3"/>
  <c r="K35" i="3"/>
  <c r="K38" i="3"/>
  <c r="K39" i="3"/>
  <c r="K42" i="3"/>
  <c r="K43" i="3"/>
  <c r="K46" i="3"/>
  <c r="K47" i="3"/>
  <c r="K50" i="3"/>
  <c r="K51" i="3"/>
  <c r="K54" i="3"/>
  <c r="K55" i="3"/>
  <c r="K58" i="3"/>
  <c r="K59" i="3"/>
  <c r="K62" i="3"/>
  <c r="K63" i="3"/>
  <c r="K66" i="3"/>
  <c r="K67" i="3"/>
  <c r="K70" i="3"/>
  <c r="K71" i="3"/>
  <c r="K74" i="3"/>
  <c r="K75" i="3"/>
  <c r="K78" i="3"/>
  <c r="K79" i="3"/>
  <c r="K82" i="3"/>
  <c r="K83" i="3"/>
  <c r="K86" i="3"/>
  <c r="K87" i="3"/>
  <c r="K90" i="3"/>
  <c r="K91" i="3"/>
  <c r="K94" i="3"/>
  <c r="K95" i="3"/>
  <c r="K98" i="3"/>
  <c r="K99"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24300F-17FE-4827-9C98-171DDDB261C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<sst xmlns="http://schemas.openxmlformats.org/spreadsheetml/2006/main" count="1441" uniqueCount="296">
  <si>
    <t>patient_id</t>
  </si>
  <si>
    <t xml:space="preserve">Age </t>
  </si>
  <si>
    <t>gender</t>
  </si>
  <si>
    <t>Diagnosis</t>
  </si>
  <si>
    <t>admission_date</t>
  </si>
  <si>
    <t xml:space="preserve"> discharge_date</t>
  </si>
  <si>
    <t>billing_amount</t>
  </si>
  <si>
    <t>P4</t>
  </si>
  <si>
    <t>Female</t>
  </si>
  <si>
    <t xml:space="preserve">  malaria</t>
  </si>
  <si>
    <t>2023-03-15</t>
  </si>
  <si>
    <t>2023-03-18 00:00:00</t>
  </si>
  <si>
    <t>P17</t>
  </si>
  <si>
    <t>F</t>
  </si>
  <si>
    <t>Diabetes</t>
  </si>
  <si>
    <t>31/03/2023</t>
  </si>
  <si>
    <t>2023/04/08</t>
  </si>
  <si>
    <t>P8</t>
  </si>
  <si>
    <t>2023-10-07</t>
  </si>
  <si>
    <t>15-10-2023</t>
  </si>
  <si>
    <t>N/A</t>
  </si>
  <si>
    <t>P7</t>
  </si>
  <si>
    <t>2023-10-23 00:00:00</t>
  </si>
  <si>
    <t>02-11-2023</t>
  </si>
  <si>
    <t>P50</t>
  </si>
  <si>
    <t>Hypertension</t>
  </si>
  <si>
    <t>2023-10-25</t>
  </si>
  <si>
    <t>2023-11-03 00:00:00</t>
  </si>
  <si>
    <t>P15</t>
  </si>
  <si>
    <t>Male</t>
  </si>
  <si>
    <t>2023-01-22</t>
  </si>
  <si>
    <t>27-01-2023</t>
  </si>
  <si>
    <t>P31</t>
  </si>
  <si>
    <t>16/07/2023</t>
  </si>
  <si>
    <t>2023-07-17 00:00:00</t>
  </si>
  <si>
    <t>P10</t>
  </si>
  <si>
    <t>FEMALE</t>
  </si>
  <si>
    <t>Malaria</t>
  </si>
  <si>
    <t>2023-01-15 00:00:00</t>
  </si>
  <si>
    <t>2023/01/18</t>
  </si>
  <si>
    <t>P38</t>
  </si>
  <si>
    <t>M</t>
  </si>
  <si>
    <t>03/12/2023</t>
  </si>
  <si>
    <t>2023/12/08</t>
  </si>
  <si>
    <t>P43</t>
  </si>
  <si>
    <t>Typhoid</t>
  </si>
  <si>
    <t>2023-12-04</t>
  </si>
  <si>
    <t>2023-12-10 00:00:00</t>
  </si>
  <si>
    <t>P25</t>
  </si>
  <si>
    <t>17/10/2023</t>
  </si>
  <si>
    <t>2023/10/27</t>
  </si>
  <si>
    <t>Asthma</t>
  </si>
  <si>
    <t>12/01/2023</t>
  </si>
  <si>
    <t>2023/01/20</t>
  </si>
  <si>
    <t>P30</t>
  </si>
  <si>
    <t xml:space="preserve"> male </t>
  </si>
  <si>
    <t>25/10/2023</t>
  </si>
  <si>
    <t>29-10-2023</t>
  </si>
  <si>
    <t>P6</t>
  </si>
  <si>
    <t>2023-11-30</t>
  </si>
  <si>
    <t>2023-12-01 00:00:00</t>
  </si>
  <si>
    <t>2023-08-16</t>
  </si>
  <si>
    <t>20-08-2023</t>
  </si>
  <si>
    <t>P32</t>
  </si>
  <si>
    <t>14/03/2023</t>
  </si>
  <si>
    <t>23-03-2023</t>
  </si>
  <si>
    <t>P16</t>
  </si>
  <si>
    <t>26/08/2023</t>
  </si>
  <si>
    <t>2023-09-05 00:00:00</t>
  </si>
  <si>
    <t>P40</t>
  </si>
  <si>
    <t>23/03/2023</t>
  </si>
  <si>
    <t>2023-03-30 00:00:00</t>
  </si>
  <si>
    <t>P26</t>
  </si>
  <si>
    <t>2023-07-18 00:00:00</t>
  </si>
  <si>
    <t>2023-07-27 00:00:00</t>
  </si>
  <si>
    <t>P45</t>
  </si>
  <si>
    <t>2023-07-17</t>
  </si>
  <si>
    <t>2023/07/24</t>
  </si>
  <si>
    <t>P2</t>
  </si>
  <si>
    <t>2023-04-19</t>
  </si>
  <si>
    <t>24-04-2023</t>
  </si>
  <si>
    <t>27/05/2023</t>
  </si>
  <si>
    <t>2023/06/01</t>
  </si>
  <si>
    <t>P14</t>
  </si>
  <si>
    <t>2023-07-31 00:00:00</t>
  </si>
  <si>
    <t>03-08-2023</t>
  </si>
  <si>
    <t>P39</t>
  </si>
  <si>
    <t>16/08/2023</t>
  </si>
  <si>
    <t>2023/08/20</t>
  </si>
  <si>
    <t>P21</t>
  </si>
  <si>
    <t>2023-01-16</t>
  </si>
  <si>
    <t>2023-01-19 00:00:00</t>
  </si>
  <si>
    <t>2023-01-28 00:00:00</t>
  </si>
  <si>
    <t>04-02-2023</t>
  </si>
  <si>
    <t>17/07/2023</t>
  </si>
  <si>
    <t>2023/07/23</t>
  </si>
  <si>
    <t>P44</t>
  </si>
  <si>
    <t>11/08/2023</t>
  </si>
  <si>
    <t>2023-08-19 00:00:00</t>
  </si>
  <si>
    <t>P1</t>
  </si>
  <si>
    <t>2023-05-28</t>
  </si>
  <si>
    <t>06-06-2023</t>
  </si>
  <si>
    <t>2023/10/22</t>
  </si>
  <si>
    <t>2023-11-15 00:00:00</t>
  </si>
  <si>
    <t>19-11-2023</t>
  </si>
  <si>
    <t>P48</t>
  </si>
  <si>
    <t>03/08/2023</t>
  </si>
  <si>
    <t>2023/08/09</t>
  </si>
  <si>
    <t>P20</t>
  </si>
  <si>
    <t>2023-06-14</t>
  </si>
  <si>
    <t>19-06-2023</t>
  </si>
  <si>
    <t>P36</t>
  </si>
  <si>
    <t>22/07/2023</t>
  </si>
  <si>
    <t>2023/07/27</t>
  </si>
  <si>
    <t>P18</t>
  </si>
  <si>
    <t>2023-04-02</t>
  </si>
  <si>
    <t>04-04-2023</t>
  </si>
  <si>
    <t>31-03-2023</t>
  </si>
  <si>
    <t>P42</t>
  </si>
  <si>
    <t>16/10/2023</t>
  </si>
  <si>
    <t>18-10-2023</t>
  </si>
  <si>
    <t>P5</t>
  </si>
  <si>
    <t>30/09/2023</t>
  </si>
  <si>
    <t>2023/10/10</t>
  </si>
  <si>
    <t>P12</t>
  </si>
  <si>
    <t>10/07/2023</t>
  </si>
  <si>
    <t>2023/07/14</t>
  </si>
  <si>
    <t>2023-04-26 00:00:00</t>
  </si>
  <si>
    <t>2023/04/28</t>
  </si>
  <si>
    <t>26/12/2023</t>
  </si>
  <si>
    <t>2024/01/04</t>
  </si>
  <si>
    <t>P19</t>
  </si>
  <si>
    <t>2023-12-17 00:00:00</t>
  </si>
  <si>
    <t>2023-12-22 00:00:00</t>
  </si>
  <si>
    <t>P46</t>
  </si>
  <si>
    <t>01/06/2023</t>
  </si>
  <si>
    <t>2023-06-09 00:00:00</t>
  </si>
  <si>
    <t>P9</t>
  </si>
  <si>
    <t>22/05/2023</t>
  </si>
  <si>
    <t>26-05-2023</t>
  </si>
  <si>
    <t>22/03/2023</t>
  </si>
  <si>
    <t>2023-01-29 00:00:00</t>
  </si>
  <si>
    <t>2023-02-05 00:00:00</t>
  </si>
  <si>
    <t>21/11/2023</t>
  </si>
  <si>
    <t>28-11-2023</t>
  </si>
  <si>
    <t>20-01-2023</t>
  </si>
  <si>
    <t>P11</t>
  </si>
  <si>
    <t>19/12/2023</t>
  </si>
  <si>
    <t>23-12-2023</t>
  </si>
  <si>
    <t>20/06/2023</t>
  </si>
  <si>
    <t>22-06-2023</t>
  </si>
  <si>
    <t>P29</t>
  </si>
  <si>
    <t>2023-02-14</t>
  </si>
  <si>
    <t>19-02-2023</t>
  </si>
  <si>
    <t>2023-10-26</t>
  </si>
  <si>
    <t>04-11-2023</t>
  </si>
  <si>
    <t>P27</t>
  </si>
  <si>
    <t>01/02/2023</t>
  </si>
  <si>
    <t>2023/02/07</t>
  </si>
  <si>
    <t>P3</t>
  </si>
  <si>
    <t>2023-10-31 00:00:00</t>
  </si>
  <si>
    <t>2023/11/03</t>
  </si>
  <si>
    <t>P22</t>
  </si>
  <si>
    <t>2023-07-01 00:00:00</t>
  </si>
  <si>
    <t>05-07-2023</t>
  </si>
  <si>
    <t>P23</t>
  </si>
  <si>
    <t>2023-08-11</t>
  </si>
  <si>
    <t>15-08-2023</t>
  </si>
  <si>
    <t>28/02/2023</t>
  </si>
  <si>
    <t>01-03-2023</t>
  </si>
  <si>
    <t>2023-01-25</t>
  </si>
  <si>
    <t>2023/01/26</t>
  </si>
  <si>
    <t>2023-01-17</t>
  </si>
  <si>
    <t>2023-07-26 00:00:00</t>
  </si>
  <si>
    <t>2023/08/04</t>
  </si>
  <si>
    <t>02/09/2023</t>
  </si>
  <si>
    <t>2023/09/05</t>
  </si>
  <si>
    <t>2023-03-10 00:00:00</t>
  </si>
  <si>
    <t>19-03-2023</t>
  </si>
  <si>
    <t>2023-03-18</t>
  </si>
  <si>
    <t>28-03-2023</t>
  </si>
  <si>
    <t>2023-10-16 00:00:00</t>
  </si>
  <si>
    <t>2023/10/17</t>
  </si>
  <si>
    <t>29/10/2023</t>
  </si>
  <si>
    <t>07-11-2023</t>
  </si>
  <si>
    <t>2023-06-08 00:00:00</t>
  </si>
  <si>
    <t>2023/06/18</t>
  </si>
  <si>
    <t>20/09/2023</t>
  </si>
  <si>
    <t>22-09-2023</t>
  </si>
  <si>
    <t>13/02/2023</t>
  </si>
  <si>
    <t>2023/02/14</t>
  </si>
  <si>
    <t>2023-05-13 00:00:00</t>
  </si>
  <si>
    <t>15-05-2023</t>
  </si>
  <si>
    <t>24/02/2023</t>
  </si>
  <si>
    <t>02-03-2023</t>
  </si>
  <si>
    <t>24/10/2023</t>
  </si>
  <si>
    <t>2023/10/30</t>
  </si>
  <si>
    <t>P49</t>
  </si>
  <si>
    <t>2023-08-20 00:00:00</t>
  </si>
  <si>
    <t>22-08-2023</t>
  </si>
  <si>
    <t>20-03-2023</t>
  </si>
  <si>
    <t>2023-09-16</t>
  </si>
  <si>
    <t>2023/09/22</t>
  </si>
  <si>
    <t>29/01/2023</t>
  </si>
  <si>
    <t>05-02-2023</t>
  </si>
  <si>
    <t>2023-07-20 00:00:00</t>
  </si>
  <si>
    <t>2023-07-29 00:00:00</t>
  </si>
  <si>
    <t>2023-01-30</t>
  </si>
  <si>
    <t>2023/02/09</t>
  </si>
  <si>
    <t>2023-02-22</t>
  </si>
  <si>
    <t>2023/02/26</t>
  </si>
  <si>
    <t>P37</t>
  </si>
  <si>
    <t>04-08-2023</t>
  </si>
  <si>
    <t>15-07-2023</t>
  </si>
  <si>
    <t>2023-04-11</t>
  </si>
  <si>
    <t>2023/04/18</t>
  </si>
  <si>
    <t>2023-09-04 00:00:00</t>
  </si>
  <si>
    <t>2023-05-04</t>
  </si>
  <si>
    <t>2023/05/14</t>
  </si>
  <si>
    <t>26-03-2023</t>
  </si>
  <si>
    <t>2023-09-09 00:00:00</t>
  </si>
  <si>
    <t>2023-09-11 00:00:00</t>
  </si>
  <si>
    <t>P24</t>
  </si>
  <si>
    <t>05/04/2023</t>
  </si>
  <si>
    <t>2023-04-06 00:00:00</t>
  </si>
  <si>
    <t>10-07-2023</t>
  </si>
  <si>
    <t>2023-10-11 00:00:00</t>
  </si>
  <si>
    <t>2023-04-10</t>
  </si>
  <si>
    <t>12-04-2023</t>
  </si>
  <si>
    <t>P13</t>
  </si>
  <si>
    <t>2023-01-31 00:00:00</t>
  </si>
  <si>
    <t>2023-08-26 00:00:00</t>
  </si>
  <si>
    <t>2023/08/30</t>
  </si>
  <si>
    <t>14/02/2023</t>
  </si>
  <si>
    <t>21-02-2023</t>
  </si>
  <si>
    <t>2023-01-18 00:00:00</t>
  </si>
  <si>
    <t>P34</t>
  </si>
  <si>
    <t>11/04/2023</t>
  </si>
  <si>
    <t>2023-04-13 00:00:00</t>
  </si>
  <si>
    <t>2023-03-26 00:00:00</t>
  </si>
  <si>
    <t>29-03-2023</t>
  </si>
  <si>
    <t>2023-02-06</t>
  </si>
  <si>
    <t>2023-02-10 00:00:00</t>
  </si>
  <si>
    <t>2023-08-31 00:00:00</t>
  </si>
  <si>
    <t>2023-09-01 00:00:00</t>
  </si>
  <si>
    <t>2023-11-14 00:00:00</t>
  </si>
  <si>
    <t>20-11-2023</t>
  </si>
  <si>
    <t>2023-04-09 00:00:00</t>
  </si>
  <si>
    <t>2023-04-14 00:00:00</t>
  </si>
  <si>
    <t xml:space="preserve"> </t>
  </si>
  <si>
    <t>Age_issue_flag</t>
  </si>
  <si>
    <t>Patient_id</t>
  </si>
  <si>
    <t>Gender</t>
  </si>
  <si>
    <t>Admission_date</t>
  </si>
  <si>
    <t xml:space="preserve"> Discharge_date</t>
  </si>
  <si>
    <t>Billing_amount</t>
  </si>
  <si>
    <t>Row_id</t>
  </si>
  <si>
    <t>Unknown</t>
  </si>
  <si>
    <t>Ok</t>
  </si>
  <si>
    <t>Missing</t>
  </si>
  <si>
    <t>Check</t>
  </si>
  <si>
    <t>Sum of Billing_amount</t>
  </si>
  <si>
    <t>Grand Total</t>
  </si>
  <si>
    <t>Row Labels</t>
  </si>
  <si>
    <t>Count of Patient_id</t>
  </si>
  <si>
    <t>Revenue by Gender</t>
  </si>
  <si>
    <t>Billing_flag</t>
  </si>
  <si>
    <t>missing</t>
  </si>
  <si>
    <t>ok</t>
  </si>
  <si>
    <t>Jan</t>
  </si>
  <si>
    <t>Feb</t>
  </si>
  <si>
    <t>Mar</t>
  </si>
  <si>
    <t>Apr</t>
  </si>
  <si>
    <t>May</t>
  </si>
  <si>
    <t>Jun</t>
  </si>
  <si>
    <t>Jul</t>
  </si>
  <si>
    <t>Aug</t>
  </si>
  <si>
    <t>Oct</t>
  </si>
  <si>
    <t>Nov</t>
  </si>
  <si>
    <t>Dec</t>
  </si>
  <si>
    <t>Sep</t>
  </si>
  <si>
    <t>Total Revenue(KPI)</t>
  </si>
  <si>
    <t>Revenue by Diagnosis</t>
  </si>
  <si>
    <t>Male &amp; Female % of Revenue</t>
  </si>
  <si>
    <t>Age_group</t>
  </si>
  <si>
    <t>0-18</t>
  </si>
  <si>
    <t>19-35</t>
  </si>
  <si>
    <t>36-55</t>
  </si>
  <si>
    <t>56+</t>
  </si>
  <si>
    <t>Total Patient Visits(KPI)</t>
  </si>
  <si>
    <t>Data Quality(missing &amp; ok billing amount)</t>
  </si>
  <si>
    <t>Revenue Trend Overtime(Admission)</t>
  </si>
  <si>
    <t>Revenue Trend Overtime(Discharge)</t>
  </si>
  <si>
    <t>Patient Visits by Age Group</t>
  </si>
  <si>
    <t>Column Labels</t>
  </si>
  <si>
    <t>Diagnosis Distribution by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</si>
</sst>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469]\ #,##0.00"/>
    <numFmt numFmtId="166" formatCode="d/mm/yyyy;@"/>
    <numFmt numFmtId="167" formatCode="[&gt;=1000000]&quot;₦&quot;#,##0.0,,&quot;M&quot;;[&gt;=1000]&quot;₦&quot;#,##0.0,&quot;K&quot;;&quot;₦&quot;#,##0"/>
  </numFmts>
  <fonts count="3" x14ac:knownFonts="1">
    <font>
      <sz val="11"/>
      <color theme="1"/>
      <name val="Calibri"/>
      <family val="2"/>
      <scheme val="minor"/>
    </font>
    <font>
      <sz val="8"/>
      <name val="Calibri"/>
      <family val="2"/>
      <scheme val="minor"/>
    </font>
    <font>
      <b/>
      <u/>
      <sz val="11"/>
      <color theme="1"/>
      <name val="Calibri"/>
      <family val="2"/>
      <scheme val="minor"/>
    </font>
  </fonts>
  <fills count="4">
    <fill>
      <patternFill patternType="none"/>
    </fill>
    <fill>
      <patternFill patternType="gray125"/>
    </fill>
    <fill>
      <patternFill patternType="solid">
        <fgColor rgb="FFF5F7FA"/>
        <bgColor indexed="64"/>
      </patternFill>
    </fill>
    <fill>
      <patternFill patternType="solid">
        <fgColor rgb="FFF4F8FB"/>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2" fillId="0" borderId="0" xfId="0" applyFont="1"/>
    <xf numFmtId="165" fontId="0" fillId="0" borderId="0" xfId="0" applyNumberFormat="1" applyAlignment="1">
      <alignment horizontal="left"/>
    </xf>
    <xf numFmtId="166" fontId="0" fillId="0" borderId="0" xfId="0" applyNumberFormat="1"/>
    <xf numFmtId="0" fontId="0" fillId="2" borderId="0" xfId="0" applyFill="1"/>
    <xf numFmtId="0" fontId="0" fillId="3" borderId="0" xfId="0" applyFill="1"/>
    <xf numFmtId="0" fontId="0" fillId="2" borderId="0" xfId="0" applyFill="1" applyAlignment="1">
      <alignment horizontal="center"/>
    </xf>
    <xf numFmtId="10" fontId="0" fillId="0" borderId="0" xfId="0" applyNumberFormat="1"/>
    <xf numFmtId="165" fontId="0" fillId="0" borderId="0" xfId="0" pivotButton="1" applyNumberFormat="1"/>
    <xf numFmtId="167" fontId="0" fillId="0" borderId="0" xfId="0" applyNumberFormat="1"/>
    <xf numFmtId="0" fontId="0" fillId="0" borderId="0" xfId="0" applyNumberFormat="1"/>
    <xf numFmtId="0" fontId="0" fillId="0" borderId="0" xfId="0" pivotButton="1" applyNumberFormat="1"/>
    <xf numFmtId="0" fontId="0" fillId="0" borderId="0" xfId="0" applyNumberFormat="1" applyAlignment="1">
      <alignment horizontal="left"/>
    </xf>
  </cellXfs>
  <cellStyles count="1">
    <cellStyle name="Normal" xfId="0" builtinId="0"/>
  </cellStyles>
  <dxfs count="217">
    <dxf>
      <numFmt numFmtId="165" formatCode="[$₦-469]\ #,##0.00"/>
    </dxf>
    <dxf>
      <numFmt numFmtId="165" formatCode="[$₦-46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gt;=1000000]&quot;₦&quot;#,##0.0,,&quot;M&quot;;[&gt;=1000]&quot;₦&quot;#,##0.0,&quot;K&quot;;&quot;₦&quot;#,##0"/>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gt;=1000000]&quot;₦&quot;#,##0.0,,&quot;M&quot;;[&gt;=1000]&quot;₦&quot;#,##0.0,&quot;K&quot;;&quot;₦&quot;#,##0"/>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gt;=1000000]&quot;₦&quot;#,##0.0,,&quot;M&quot;;[&gt;=1000]&quot;₦&quot;#,##0.0,&quot;K&quot;;&quot;₦&quot;#,##0"/>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gt;=1000000]&quot;₦&quot;#,##0.0,,&quot;M&quot;;[&gt;=1000]&quot;₦&quot;#,##0.0,&quot;K&quot;;&quot;₦&quot;#,##0"/>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gt;=1000000]&quot;₦&quot;#,##0.0,,&quot;M&quot;;[&gt;=1000]&quot;₦&quot;#,##0.0,&quot;K&quot;;&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4" formatCode="0.00%"/>
    </dxf>
    <dxf>
      <numFmt numFmtId="0" formatCode="General"/>
    </dxf>
    <dxf>
      <numFmt numFmtId="0" formatCode="General"/>
    </dxf>
    <dxf>
      <numFmt numFmtId="165" formatCode="[$₦-469]\ #,##0.00"/>
    </dxf>
    <dxf>
      <numFmt numFmtId="165" formatCode="[$₦-469]\ #,##0.00"/>
    </dxf>
    <dxf>
      <numFmt numFmtId="165" formatCode="[$₦-469]\ #,##0.00"/>
    </dxf>
    <dxf>
      <numFmt numFmtId="165" formatCode="[$₦-469]\ #,##0.00"/>
    </dxf>
    <dxf>
      <numFmt numFmtId="165" formatCode="[$₦-469]\ #,##0.00"/>
    </dxf>
    <dxf>
      <numFmt numFmtId="165" formatCode="[$₦-469]\ #,##0.00"/>
    </dxf>
    <dxf>
      <numFmt numFmtId="167" formatCode="[&gt;=1000000]&quot;₦&quot;#,##0.0,,&quot;M&quot;;[&gt;=1000]&quot;₦&quot;#,##0.0,&quot;K&quot;;&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0" formatCode="General"/>
    </dxf>
    <dxf>
      <numFmt numFmtId="0" formatCode="General"/>
    </dxf>
    <dxf>
      <numFmt numFmtId="0" formatCode="General"/>
    </dxf>
    <dxf>
      <numFmt numFmtId="0" formatCode="General"/>
    </dxf>
    <dxf>
      <numFmt numFmtId="0" formatCode="General"/>
    </dxf>
    <dxf>
      <numFmt numFmtId="165" formatCode="[$₦-469]\ #,##0.00"/>
    </dxf>
    <dxf>
      <numFmt numFmtId="165" formatCode="[$₦-469]\ #,##0.00"/>
    </dxf>
    <dxf>
      <numFmt numFmtId="166" formatCode="d/mm/yyyy;@"/>
    </dxf>
    <dxf>
      <numFmt numFmtId="166" formatCode="d/mm/yyyy;@"/>
    </dxf>
    <dxf>
      <numFmt numFmtId="166" formatCode="d/mm/yyyy;@"/>
    </dxf>
    <dxf>
      <numFmt numFmtId="166" formatCode="d/mm/yyyy;@"/>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164" formatCode="dd/mm/yyyy;@"/>
    </dxf>
    <dxf>
      <numFmt numFmtId="165" formatCode="[$₦-469]\ #,##0.00"/>
    </dxf>
    <dxf>
      <numFmt numFmtId="165" formatCode="[$₦-469]\ #,##0.00"/>
    </dxf>
    <dxf>
      <numFmt numFmtId="164" formatCode="dd/mm/yyyy;@"/>
    </dxf>
    <dxf>
      <numFmt numFmtId="164" formatCode="dd/mm/yyyy;@"/>
    </dxf>
    <dxf>
      <numFmt numFmtId="164" formatCode="dd/mm/yyyy;@"/>
    </dxf>
    <dxf>
      <numFmt numFmtId="164" formatCode="dd/mm/yyyy;@"/>
    </dxf>
    <dxf>
      <numFmt numFmtId="0" formatCode="General"/>
    </dxf>
    <dxf>
      <numFmt numFmtId="0" formatCode="General"/>
    </dxf>
    <dxf>
      <font>
        <b/>
        <i val="0"/>
        <sz val="10"/>
        <color rgb="FF1E3A5F"/>
        <name val="Segoe UI"/>
        <family val="2"/>
        <scheme val="none"/>
      </font>
      <fill>
        <patternFill>
          <bgColor rgb="FFFFFFFF"/>
        </patternFill>
      </fill>
      <border diagonalUp="0" diagonalDown="0">
        <left/>
        <right/>
        <top/>
        <bottom/>
        <vertical/>
        <horizontal/>
      </border>
    </dxf>
    <dxf>
      <fill>
        <patternFill>
          <bgColor rgb="FFFFFFFF"/>
        </patternFill>
      </fill>
      <border diagonalUp="0" diagonalDown="0">
        <left/>
        <right/>
        <top/>
        <bottom/>
        <vertical/>
        <horizontal/>
      </border>
    </dxf>
  </dxfs>
  <tableStyles count="1" defaultTableStyle="TableStyleMedium2" defaultPivotStyle="PivotStyleLight16">
    <tableStyle name="Slicer Style 1" pivot="0" table="0" count="6" xr9:uid="{91B5F439-03B9-4887-ACDF-4DE1584FB105}">
      <tableStyleElement type="wholeTable" dxfId="216"/>
      <tableStyleElement type="headerRow" dxfId="215"/>
    </tableStyle>
  </tableStyles>
  <colors>
    <mruColors>
      <color rgb="FF1F497D"/>
      <color rgb="FF1E3A5F"/>
      <color rgb="FF6B7280"/>
      <color rgb="FF7F7F7F"/>
      <color rgb="FFF2F2F2"/>
      <color rgb="FF333333"/>
      <color rgb="FFD1ECEB"/>
      <color rgb="FFEAF3F3"/>
      <color rgb="FF2CA6A4"/>
      <color rgb="FFFFFFFF"/>
    </mruColors>
  </colors>
  <extLst>
    <ext xmlns:x14="http://schemas.microsoft.com/office/spreadsheetml/2009/9/main" uri="{46F421CA-312F-682f-3DD2-61675219B42D}">
      <x14:dxfs count="4">
        <dxf>
          <font>
            <color rgb="FF333333"/>
          </font>
          <fill>
            <patternFill>
              <bgColor rgb="FFD1ECEB"/>
            </patternFill>
          </fill>
        </dxf>
        <dxf>
          <font>
            <color rgb="FF7F7F7F"/>
          </font>
          <fill>
            <patternFill>
              <bgColor rgb="FFF2F2F2"/>
            </patternFill>
          </fill>
        </dxf>
        <dxf>
          <font>
            <color theme="0"/>
          </font>
          <fill>
            <patternFill>
              <bgColor rgb="FF1E3A5F"/>
            </patternFill>
          </fill>
          <border diagonalUp="0" diagonalDown="0">
            <left/>
            <right/>
            <top/>
            <bottom/>
            <vertical/>
            <horizontal/>
          </border>
        </dxf>
        <dxf>
          <font>
            <color rgb="FF333333"/>
          </font>
          <fill>
            <patternFill>
              <bgColor rgb="FFEAF3F3"/>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Pivot_Table!$E$3</c:f>
              <c:strCache>
                <c:ptCount val="1"/>
                <c:pt idx="0">
                  <c:v>Total</c:v>
                </c:pt>
              </c:strCache>
            </c:strRef>
          </c:tx>
          <c:spPr>
            <a:solidFill>
              <a:schemeClr val="accent1"/>
            </a:solidFill>
            <a:ln>
              <a:noFill/>
            </a:ln>
            <a:effectLst/>
          </c:spPr>
          <c:invertIfNegative val="0"/>
          <c:cat>
            <c:strRef>
              <c:f>Pivot_Table!$D$4:$D$10</c:f>
              <c:strCache>
                <c:ptCount val="6"/>
                <c:pt idx="0">
                  <c:v>Malaria</c:v>
                </c:pt>
                <c:pt idx="1">
                  <c:v>Hypertension</c:v>
                </c:pt>
                <c:pt idx="2">
                  <c:v>Diabetes</c:v>
                </c:pt>
                <c:pt idx="3">
                  <c:v>Typhoid</c:v>
                </c:pt>
                <c:pt idx="4">
                  <c:v>Asthma</c:v>
                </c:pt>
                <c:pt idx="5">
                  <c:v>Unknown</c:v>
                </c:pt>
              </c:strCache>
            </c:strRef>
          </c:cat>
          <c:val>
            <c:numRef>
              <c:f>Pivot_Table!$E$4:$E$10</c:f>
              <c:numCache>
                <c:formatCode>[$₦-469]\ #,##0.00</c:formatCode>
                <c:ptCount val="6"/>
                <c:pt idx="0">
                  <c:v>307353.77</c:v>
                </c:pt>
                <c:pt idx="1">
                  <c:v>205245.61000000002</c:v>
                </c:pt>
                <c:pt idx="2">
                  <c:v>202756.41</c:v>
                </c:pt>
                <c:pt idx="3">
                  <c:v>148284.60999999999</c:v>
                </c:pt>
                <c:pt idx="4">
                  <c:v>144804.95000000001</c:v>
                </c:pt>
                <c:pt idx="5">
                  <c:v>34273.56</c:v>
                </c:pt>
              </c:numCache>
            </c:numRef>
          </c:val>
          <c:extLst>
            <c:ext xmlns:c16="http://schemas.microsoft.com/office/drawing/2014/chart" uri="{C3380CC4-5D6E-409C-BE32-E72D297353CC}">
              <c16:uniqueId val="{00000000-236A-4A9F-8C3F-F9928064CE46}"/>
            </c:ext>
          </c:extLst>
        </c:ser>
        <c:dLbls>
          <c:showLegendKey val="0"/>
          <c:showVal val="0"/>
          <c:showCatName val="0"/>
          <c:showSerName val="0"/>
          <c:showPercent val="0"/>
          <c:showBubbleSize val="0"/>
        </c:dLbls>
        <c:gapWidth val="182"/>
        <c:axId val="2115408671"/>
        <c:axId val="2115380831"/>
      </c:barChart>
      <c:catAx>
        <c:axId val="211540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380831"/>
        <c:crosses val="autoZero"/>
        <c:auto val="1"/>
        <c:lblAlgn val="ctr"/>
        <c:lblOffset val="100"/>
        <c:noMultiLvlLbl val="0"/>
      </c:catAx>
      <c:valAx>
        <c:axId val="2115380831"/>
        <c:scaling>
          <c:orientation val="minMax"/>
        </c:scaling>
        <c:delete val="0"/>
        <c:axPos val="b"/>
        <c:majorGridlines>
          <c:spPr>
            <a:ln w="9525" cap="flat" cmpd="sng" algn="ctr">
              <a:solidFill>
                <a:schemeClr val="tx1">
                  <a:lumMod val="15000"/>
                  <a:lumOff val="85000"/>
                </a:schemeClr>
              </a:solidFill>
              <a:round/>
            </a:ln>
            <a:effectLst/>
          </c:spPr>
        </c:majorGridlines>
        <c:numFmt formatCode="[$₦-46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40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Pivot_Table!$E$14</c:f>
              <c:strCache>
                <c:ptCount val="1"/>
                <c:pt idx="0">
                  <c:v>Total</c:v>
                </c:pt>
              </c:strCache>
            </c:strRef>
          </c:tx>
          <c:spPr>
            <a:solidFill>
              <a:schemeClr val="accent1"/>
            </a:solidFill>
            <a:ln>
              <a:noFill/>
            </a:ln>
            <a:effectLst/>
          </c:spPr>
          <c:invertIfNegative val="0"/>
          <c:cat>
            <c:strRef>
              <c:f>Pivot_Table!$D$15:$D$17</c:f>
              <c:strCache>
                <c:ptCount val="2"/>
                <c:pt idx="0">
                  <c:v>Female</c:v>
                </c:pt>
                <c:pt idx="1">
                  <c:v>Male</c:v>
                </c:pt>
              </c:strCache>
            </c:strRef>
          </c:cat>
          <c:val>
            <c:numRef>
              <c:f>Pivot_Table!$E$15:$E$17</c:f>
              <c:numCache>
                <c:formatCode>[$₦-469]\ #,##0.00</c:formatCode>
                <c:ptCount val="2"/>
                <c:pt idx="0">
                  <c:v>532591.30999999994</c:v>
                </c:pt>
                <c:pt idx="1">
                  <c:v>510127.60000000009</c:v>
                </c:pt>
              </c:numCache>
            </c:numRef>
          </c:val>
          <c:extLst>
            <c:ext xmlns:c16="http://schemas.microsoft.com/office/drawing/2014/chart" uri="{C3380CC4-5D6E-409C-BE32-E72D297353CC}">
              <c16:uniqueId val="{00000000-BC52-4BC8-9853-413CFBB29DFB}"/>
            </c:ext>
          </c:extLst>
        </c:ser>
        <c:dLbls>
          <c:showLegendKey val="0"/>
          <c:showVal val="0"/>
          <c:showCatName val="0"/>
          <c:showSerName val="0"/>
          <c:showPercent val="0"/>
          <c:showBubbleSize val="0"/>
        </c:dLbls>
        <c:gapWidth val="150"/>
        <c:axId val="1744070079"/>
        <c:axId val="1744076319"/>
      </c:barChart>
      <c:catAx>
        <c:axId val="174407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076319"/>
        <c:crosses val="autoZero"/>
        <c:auto val="1"/>
        <c:lblAlgn val="ctr"/>
        <c:lblOffset val="100"/>
        <c:noMultiLvlLbl val="0"/>
      </c:catAx>
      <c:valAx>
        <c:axId val="1744076319"/>
        <c:scaling>
          <c:orientation val="minMax"/>
        </c:scaling>
        <c:delete val="0"/>
        <c:axPos val="l"/>
        <c:majorGridlines>
          <c:spPr>
            <a:ln w="9525" cap="flat" cmpd="sng" algn="ctr">
              <a:solidFill>
                <a:schemeClr val="tx1">
                  <a:lumMod val="15000"/>
                  <a:lumOff val="85000"/>
                </a:schemeClr>
              </a:solidFill>
              <a:round/>
            </a:ln>
            <a:effectLst/>
          </c:spPr>
        </c:majorGridlines>
        <c:numFmt formatCode="[$₦-46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07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Pivot_Table!$E$28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FF-4CF0-99F5-0F37E29D96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FF-4CF0-99F5-0F37E29D963C}"/>
              </c:ext>
            </c:extLst>
          </c:dPt>
          <c:cat>
            <c:strRef>
              <c:f>Pivot_Table!$D$29:$D$31</c:f>
              <c:strCache>
                <c:ptCount val="2"/>
                <c:pt idx="0">
                  <c:v>ok</c:v>
                </c:pt>
                <c:pt idx="1">
                  <c:v>missing</c:v>
                </c:pt>
              </c:strCache>
            </c:strRef>
          </c:cat>
          <c:val>
            <c:numRef>
              <c:f>Pivot_Table!$E$29:$E$31</c:f>
              <c:numCache>
                <c:formatCode>General</c:formatCode>
                <c:ptCount val="2"/>
                <c:pt idx="0">
                  <c:v>37</c:v>
                </c:pt>
                <c:pt idx="1">
                  <c:v>63</c:v>
                </c:pt>
              </c:numCache>
            </c:numRef>
          </c:val>
          <c:extLst>
            <c:ext xmlns:c16="http://schemas.microsoft.com/office/drawing/2014/chart" uri="{C3380CC4-5D6E-409C-BE32-E72D297353CC}">
              <c16:uniqueId val="{00000000-FC4E-49E7-8E80-7990779BD9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Pivot_Table!$E$42</c:f>
              <c:strCache>
                <c:ptCount val="1"/>
                <c:pt idx="0">
                  <c:v>Total</c:v>
                </c:pt>
              </c:strCache>
            </c:strRef>
          </c:tx>
          <c:spPr>
            <a:ln w="28575" cap="rnd">
              <a:solidFill>
                <a:schemeClr val="accent1"/>
              </a:solidFill>
              <a:round/>
            </a:ln>
            <a:effectLst/>
          </c:spPr>
          <c:marker>
            <c:symbol val="diamond"/>
            <c:size val="6"/>
            <c:spPr>
              <a:solidFill>
                <a:schemeClr val="accent1"/>
              </a:solidFill>
              <a:ln w="9525">
                <a:solidFill>
                  <a:schemeClr val="accent1"/>
                </a:solidFill>
              </a:ln>
              <a:effectLst/>
            </c:spPr>
          </c:marker>
          <c:cat>
            <c:strRef>
              <c:f>Pivot_Table!$D$43:$D$55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Pivot_Table!$E$43:$E$55</c:f>
              <c:numCache>
                <c:formatCode>[$₦-469]\ #,##0.00</c:formatCode>
                <c:ptCount val="12"/>
                <c:pt idx="0">
                  <c:v>115729.09000000001</c:v>
                </c:pt>
                <c:pt idx="1">
                  <c:v>66917.919999999998</c:v>
                </c:pt>
                <c:pt idx="2">
                  <c:v>220262.16999999998</c:v>
                </c:pt>
                <c:pt idx="3">
                  <c:v>47546.49</c:v>
                </c:pt>
                <c:pt idx="4">
                  <c:v>13591.42</c:v>
                </c:pt>
                <c:pt idx="6">
                  <c:v>210498.56999999998</c:v>
                </c:pt>
                <c:pt idx="7">
                  <c:v>42165.49</c:v>
                </c:pt>
                <c:pt idx="8">
                  <c:v>128492.03</c:v>
                </c:pt>
                <c:pt idx="9">
                  <c:v>109512.28000000001</c:v>
                </c:pt>
                <c:pt idx="10">
                  <c:v>66249.679999999993</c:v>
                </c:pt>
                <c:pt idx="11">
                  <c:v>21753.77</c:v>
                </c:pt>
              </c:numCache>
            </c:numRef>
          </c:val>
          <c:smooth val="0"/>
          <c:extLst>
            <c:ext xmlns:c16="http://schemas.microsoft.com/office/drawing/2014/chart" uri="{C3380CC4-5D6E-409C-BE32-E72D297353CC}">
              <c16:uniqueId val="{00000000-DB86-42B0-854F-6ED25621B741}"/>
            </c:ext>
          </c:extLst>
        </c:ser>
        <c:dLbls>
          <c:showLegendKey val="0"/>
          <c:showVal val="0"/>
          <c:showCatName val="0"/>
          <c:showSerName val="0"/>
          <c:showPercent val="0"/>
          <c:showBubbleSize val="0"/>
        </c:dLbls>
        <c:marker val="1"/>
        <c:smooth val="0"/>
        <c:axId val="201769103"/>
        <c:axId val="201784463"/>
      </c:lineChart>
      <c:catAx>
        <c:axId val="20176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84463"/>
        <c:crosses val="autoZero"/>
        <c:auto val="1"/>
        <c:lblAlgn val="ctr"/>
        <c:lblOffset val="100"/>
        <c:noMultiLvlLbl val="0"/>
      </c:catAx>
      <c:valAx>
        <c:axId val="201784463"/>
        <c:scaling>
          <c:orientation val="minMax"/>
        </c:scaling>
        <c:delete val="0"/>
        <c:axPos val="l"/>
        <c:majorGridlines>
          <c:spPr>
            <a:ln w="9525" cap="flat" cmpd="sng" algn="ctr">
              <a:solidFill>
                <a:schemeClr val="tx1">
                  <a:lumMod val="15000"/>
                  <a:lumOff val="85000"/>
                </a:schemeClr>
              </a:solidFill>
              <a:round/>
            </a:ln>
            <a:effectLst/>
          </c:spPr>
        </c:majorGridlines>
        <c:numFmt formatCode="[$₦-46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[messy_healthcare_dataset(AutoRecovered).xlsx]Pivot_Table!PivotTable13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Pivot_Table!$E$60</c:f>
              <c:strCache>
                <c:ptCount val="1"/>
                <c:pt idx="0">
                  <c:v>Total</c:v>
                </c:pt>
              </c:strCache>
            </c:strRef>
          </c:tx>
          <c:spPr>
            <a:ln w="28575" cap="rnd">
              <a:solidFill>
                <a:schemeClr val="accent1"/>
              </a:solidFill>
              <a:round/>
            </a:ln>
            <a:effectLst/>
          </c:spPr>
          <c:marker>
            <c:symbol val="diamond"/>
            <c:size val="6"/>
            <c:spPr>
              <a:solidFill>
                <a:schemeClr val="accent1"/>
              </a:solidFill>
              <a:ln w="9525">
                <a:solidFill>
                  <a:schemeClr val="accent1"/>
                </a:solidFill>
              </a:ln>
              <a:effectLst/>
            </c:spPr>
          </c:marker>
          <c:cat>
            <c:strRef>
              <c:f>Pivot_Table!$D$61:$D$73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Pivot_Table!$E$61:$E$73</c:f>
              <c:numCache>
                <c:formatCode>[$₦-469]\ #,##0.00</c:formatCode>
                <c:ptCount val="12"/>
                <c:pt idx="0">
                  <c:v>88770.67</c:v>
                </c:pt>
                <c:pt idx="1">
                  <c:v>54841.64</c:v>
                </c:pt>
                <c:pt idx="2">
                  <c:v>213518.36</c:v>
                </c:pt>
                <c:pt idx="3">
                  <c:v>93325</c:v>
                </c:pt>
                <c:pt idx="4">
                  <c:v>13591.42</c:v>
                </c:pt>
                <c:pt idx="6">
                  <c:v>160185.97999999998</c:v>
                </c:pt>
                <c:pt idx="7">
                  <c:v>92478.079999999987</c:v>
                </c:pt>
                <c:pt idx="8">
                  <c:v>99996.73000000001</c:v>
                </c:pt>
                <c:pt idx="9">
                  <c:v>49294.1</c:v>
                </c:pt>
                <c:pt idx="10">
                  <c:v>112912.65000000001</c:v>
                </c:pt>
                <c:pt idx="11">
                  <c:v>63804.28</c:v>
                </c:pt>
              </c:numCache>
            </c:numRef>
          </c:val>
          <c:smooth val="0"/>
          <c:extLst>
            <c:ext xmlns:c16="http://schemas.microsoft.com/office/drawing/2014/chart" uri="{C3380CC4-5D6E-409C-BE32-E72D297353CC}">
              <c16:uniqueId val="{00000000-3B43-4788-A567-709257861C6E}"/>
            </c:ext>
          </c:extLst>
        </c:ser>
        <c:dLbls>
          <c:showLegendKey val="0"/>
          <c:showVal val="0"/>
          <c:showCatName val="0"/>
          <c:showSerName val="0"/>
          <c:showPercent val="0"/>
          <c:showBubbleSize val="0"/>
        </c:dLbls>
        <c:marker val="1"/>
        <c:smooth val="0"/>
        <c:axId val="201819023"/>
        <c:axId val="201819503"/>
      </c:lineChart>
      <c:catAx>
        <c:axId val="20181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19503"/>
        <c:crosses val="autoZero"/>
        <c:auto val="1"/>
        <c:lblAlgn val="ctr"/>
        <c:lblOffset val="100"/>
        <c:noMultiLvlLbl val="0"/>
      </c:catAx>
      <c:valAx>
        <c:axId val="201819503"/>
        <c:scaling>
          <c:orientation val="minMax"/>
        </c:scaling>
        <c:delete val="0"/>
        <c:axPos val="l"/>
        <c:majorGridlines>
          <c:spPr>
            <a:ln w="9525" cap="flat" cmpd="sng" algn="ctr">
              <a:solidFill>
                <a:schemeClr val="tx1">
                  <a:lumMod val="15000"/>
                  <a:lumOff val="85000"/>
                </a:schemeClr>
              </a:solidFill>
              <a:round/>
            </a:ln>
            <a:effectLst/>
          </c:spPr>
        </c:majorGridlines>
        <c:numFmt formatCode="[$₦-46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1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Pivot_Table!$E$78</c:f>
              <c:strCache>
                <c:ptCount val="1"/>
                <c:pt idx="0">
                  <c:v>Total</c:v>
                </c:pt>
              </c:strCache>
            </c:strRef>
          </c:tx>
          <c:spPr>
            <a:solidFill>
              <a:schemeClr val="accent1"/>
            </a:solidFill>
            <a:ln>
              <a:noFill/>
            </a:ln>
            <a:effectLst/>
          </c:spPr>
          <c:invertIfNegative val="0"/>
          <c:cat>
            <c:strRef>
              <c:f>Pivot_Table!$D$79:$D$83</c:f>
              <c:strCache>
                <c:ptCount val="4"/>
                <c:pt idx="0">
                  <c:v>0-18</c:v>
                </c:pt>
                <c:pt idx="1">
                  <c:v>36-55</c:v>
                </c:pt>
                <c:pt idx="2">
                  <c:v>56+</c:v>
                </c:pt>
                <c:pt idx="3">
                  <c:v>19-35</c:v>
                </c:pt>
              </c:strCache>
            </c:strRef>
          </c:cat>
          <c:val>
            <c:numRef>
              <c:f>Pivot_Table!$E$79:$E$83</c:f>
              <c:numCache>
                <c:formatCode>General</c:formatCode>
                <c:ptCount val="4"/>
                <c:pt idx="0">
                  <c:v>69</c:v>
                </c:pt>
                <c:pt idx="1">
                  <c:v>15</c:v>
                </c:pt>
                <c:pt idx="2">
                  <c:v>11</c:v>
                </c:pt>
                <c:pt idx="3">
                  <c:v>5</c:v>
                </c:pt>
              </c:numCache>
            </c:numRef>
          </c:val>
          <c:extLst>
            <c:ext xmlns:c16="http://schemas.microsoft.com/office/drawing/2014/chart" uri="{C3380CC4-5D6E-409C-BE32-E72D297353CC}">
              <c16:uniqueId val="{00000000-1A37-44D4-803D-829B7C1C7266}"/>
            </c:ext>
          </c:extLst>
        </c:ser>
        <c:dLbls>
          <c:showLegendKey val="0"/>
          <c:showVal val="0"/>
          <c:showCatName val="0"/>
          <c:showSerName val="0"/>
          <c:showPercent val="0"/>
          <c:showBubbleSize val="0"/>
        </c:dLbls>
        <c:gapWidth val="150"/>
        <c:overlap val="100"/>
        <c:axId val="291709407"/>
        <c:axId val="291699807"/>
      </c:barChart>
      <c:catAx>
        <c:axId val="29170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699807"/>
        <c:crosses val="autoZero"/>
        <c:auto val="1"/>
        <c:lblAlgn val="ctr"/>
        <c:lblOffset val="100"/>
        <c:noMultiLvlLbl val="0"/>
      </c:catAx>
      <c:valAx>
        <c:axId val="29169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0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[messy_healthcare_dataset(AutoRecovered).xlsx]Pivot_Table!PivotTable15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Pivot_Table!$E$93:$E$94</c:f>
              <c:strCache>
                <c:ptCount val="1"/>
                <c:pt idx="0">
                  <c:v>Asthma</c:v>
                </c:pt>
              </c:strCache>
            </c:strRef>
          </c:tx>
          <c:spPr>
            <a:solidFill>
              <a:schemeClr val="accent1"/>
            </a:solidFill>
            <a:ln>
              <a:noFill/>
            </a:ln>
            <a:effectLst/>
          </c:spPr>
          <c:invertIfNegative val="0"/>
          <c:cat>
            <c:strRef>
              <c:f>Pivot_Table!$D$95:$D$99</c:f>
              <c:strCache>
                <c:ptCount val="4"/>
                <c:pt idx="0">
                  <c:v>0-18</c:v>
                </c:pt>
                <c:pt idx="1">
                  <c:v>36-55</c:v>
                </c:pt>
                <c:pt idx="2">
                  <c:v>56+</c:v>
                </c:pt>
                <c:pt idx="3">
                  <c:v>19-35</c:v>
                </c:pt>
              </c:strCache>
            </c:strRef>
          </c:cat>
          <c:val>
            <c:numRef>
              <c:f>Pivot_Table!$E$95:$E$99</c:f>
              <c:numCache>
                <c:formatCode>General</c:formatCode>
                <c:ptCount val="4"/>
                <c:pt idx="0">
                  <c:v>10</c:v>
                </c:pt>
                <c:pt idx="1">
                  <c:v>4</c:v>
                </c:pt>
                <c:pt idx="2">
                  <c:v>2</c:v>
                </c:pt>
              </c:numCache>
            </c:numRef>
          </c:val>
          <c:extLst>
            <c:ext xmlns:c16="http://schemas.microsoft.com/office/drawing/2014/chart" uri="{C3380CC4-5D6E-409C-BE32-E72D297353CC}">
              <c16:uniqueId val="{00000000-2673-44BC-A285-3B2EB9FED508}"/>
            </c:ext>
          </c:extLst>
        </c:ser>
        <c:ser>
          <c:idx val="1"/>
          <c:order val="1"/>
          <c:tx>
            <c:strRef>
              <c:f>Pivot_Table!$F$93:$F$94</c:f>
              <c:strCache>
                <c:ptCount val="1"/>
                <c:pt idx="0">
                  <c:v>Diabetes</c:v>
                </c:pt>
              </c:strCache>
            </c:strRef>
          </c:tx>
          <c:spPr>
            <a:solidFill>
              <a:schemeClr val="accent2"/>
            </a:solidFill>
            <a:ln>
              <a:noFill/>
            </a:ln>
            <a:effectLst/>
          </c:spPr>
          <c:invertIfNegative val="0"/>
          <c:cat>
            <c:strRef>
              <c:f>Pivot_Table!$D$95:$D$99</c:f>
              <c:strCache>
                <c:ptCount val="4"/>
                <c:pt idx="0">
                  <c:v>0-18</c:v>
                </c:pt>
                <c:pt idx="1">
                  <c:v>36-55</c:v>
                </c:pt>
                <c:pt idx="2">
                  <c:v>56+</c:v>
                </c:pt>
                <c:pt idx="3">
                  <c:v>19-35</c:v>
                </c:pt>
              </c:strCache>
            </c:strRef>
          </c:cat>
          <c:val>
            <c:numRef>
              <c:f>Pivot_Table!$F$95:$F$99</c:f>
              <c:numCache>
                <c:formatCode>General</c:formatCode>
                <c:ptCount val="4"/>
                <c:pt idx="0">
                  <c:v>11</c:v>
                </c:pt>
                <c:pt idx="1">
                  <c:v>1</c:v>
                </c:pt>
                <c:pt idx="2">
                  <c:v>4</c:v>
                </c:pt>
                <c:pt idx="3">
                  <c:v>1</c:v>
                </c:pt>
              </c:numCache>
            </c:numRef>
          </c:val>
          <c:extLst>
            <c:ext xmlns:c16="http://schemas.microsoft.com/office/drawing/2014/chart" uri="{C3380CC4-5D6E-409C-BE32-E72D297353CC}">
              <c16:uniqueId val="{00000000-A4D4-4E36-8DE5-5BDB9EEB4EB1}"/>
            </c:ext>
          </c:extLst>
        </c:ser>
        <c:ser>
          <c:idx val="2"/>
          <c:order val="2"/>
          <c:tx>
            <c:strRef>
              <c:f>Pivot_Table!$G$93:$G$94</c:f>
              <c:strCache>
                <c:ptCount val="1"/>
                <c:pt idx="0">
                  <c:v>Hypertension</c:v>
                </c:pt>
              </c:strCache>
            </c:strRef>
          </c:tx>
          <c:spPr>
            <a:solidFill>
              <a:schemeClr val="accent3"/>
            </a:solidFill>
            <a:ln>
              <a:noFill/>
            </a:ln>
            <a:effectLst/>
          </c:spPr>
          <c:invertIfNegative val="0"/>
          <c:cat>
            <c:strRef>
              <c:f>Pivot_Table!$D$95:$D$99</c:f>
              <c:strCache>
                <c:ptCount val="4"/>
                <c:pt idx="0">
                  <c:v>0-18</c:v>
                </c:pt>
                <c:pt idx="1">
                  <c:v>36-55</c:v>
                </c:pt>
                <c:pt idx="2">
                  <c:v>56+</c:v>
                </c:pt>
                <c:pt idx="3">
                  <c:v>19-35</c:v>
                </c:pt>
              </c:strCache>
            </c:strRef>
          </c:cat>
          <c:val>
            <c:numRef>
              <c:f>Pivot_Table!$G$95:$G$99</c:f>
              <c:numCache>
                <c:formatCode>General</c:formatCode>
                <c:ptCount val="4"/>
                <c:pt idx="0">
                  <c:v>11</c:v>
                </c:pt>
                <c:pt idx="1">
                  <c:v>3</c:v>
                </c:pt>
                <c:pt idx="2">
                  <c:v>1</c:v>
                </c:pt>
              </c:numCache>
            </c:numRef>
          </c:val>
          <c:extLst>
            <c:ext xmlns:c16="http://schemas.microsoft.com/office/drawing/2014/chart" uri="{C3380CC4-5D6E-409C-BE32-E72D297353CC}">
              <c16:uniqueId val="{00000001-A4D4-4E36-8DE5-5BDB9EEB4EB1}"/>
            </c:ext>
          </c:extLst>
        </c:ser>
        <c:ser>
          <c:idx val="3"/>
          <c:order val="3"/>
          <c:tx>
            <c:strRef>
              <c:f>Pivot_Table!$H$93:$H$94</c:f>
              <c:strCache>
                <c:ptCount val="1"/>
                <c:pt idx="0">
                  <c:v>Malaria</c:v>
                </c:pt>
              </c:strCache>
            </c:strRef>
          </c:tx>
          <c:spPr>
            <a:solidFill>
              <a:schemeClr val="accent4"/>
            </a:solidFill>
            <a:ln>
              <a:noFill/>
            </a:ln>
            <a:effectLst/>
          </c:spPr>
          <c:invertIfNegative val="0"/>
          <c:cat>
            <c:strRef>
              <c:f>Pivot_Table!$D$95:$D$99</c:f>
              <c:strCache>
                <c:ptCount val="4"/>
                <c:pt idx="0">
                  <c:v>0-18</c:v>
                </c:pt>
                <c:pt idx="1">
                  <c:v>36-55</c:v>
                </c:pt>
                <c:pt idx="2">
                  <c:v>56+</c:v>
                </c:pt>
                <c:pt idx="3">
                  <c:v>19-35</c:v>
                </c:pt>
              </c:strCache>
            </c:strRef>
          </c:cat>
          <c:val>
            <c:numRef>
              <c:f>Pivot_Table!$H$95:$H$99</c:f>
              <c:numCache>
                <c:formatCode>General</c:formatCode>
                <c:ptCount val="4"/>
                <c:pt idx="0">
                  <c:v>20</c:v>
                </c:pt>
                <c:pt idx="1">
                  <c:v>5</c:v>
                </c:pt>
                <c:pt idx="2">
                  <c:v>2</c:v>
                </c:pt>
                <c:pt idx="3">
                  <c:v>2</c:v>
                </c:pt>
              </c:numCache>
            </c:numRef>
          </c:val>
          <c:extLst>
            <c:ext xmlns:c16="http://schemas.microsoft.com/office/drawing/2014/chart" uri="{C3380CC4-5D6E-409C-BE32-E72D297353CC}">
              <c16:uniqueId val="{00000002-A4D4-4E36-8DE5-5BDB9EEB4EB1}"/>
            </c:ext>
          </c:extLst>
        </c:ser>
        <c:ser>
          <c:idx val="4"/>
          <c:order val="4"/>
          <c:tx>
            <c:strRef>
              <c:f>Pivot_Table!$I$93:$I$94</c:f>
              <c:strCache>
                <c:ptCount val="1"/>
                <c:pt idx="0">
                  <c:v>Typhoid</c:v>
                </c:pt>
              </c:strCache>
            </c:strRef>
          </c:tx>
          <c:spPr>
            <a:solidFill>
              <a:schemeClr val="accent5"/>
            </a:solidFill>
            <a:ln>
              <a:noFill/>
            </a:ln>
            <a:effectLst/>
          </c:spPr>
          <c:invertIfNegative val="0"/>
          <c:cat>
            <c:strRef>
              <c:f>Pivot_Table!$D$95:$D$99</c:f>
              <c:strCache>
                <c:ptCount val="4"/>
                <c:pt idx="0">
                  <c:v>0-18</c:v>
                </c:pt>
                <c:pt idx="1">
                  <c:v>36-55</c:v>
                </c:pt>
                <c:pt idx="2">
                  <c:v>56+</c:v>
                </c:pt>
                <c:pt idx="3">
                  <c:v>19-35</c:v>
                </c:pt>
              </c:strCache>
            </c:strRef>
          </c:cat>
          <c:val>
            <c:numRef>
              <c:f>Pivot_Table!$I$95:$I$99</c:f>
              <c:numCache>
                <c:formatCode>General</c:formatCode>
                <c:ptCount val="4"/>
                <c:pt idx="0">
                  <c:v>9</c:v>
                </c:pt>
                <c:pt idx="1">
                  <c:v>2</c:v>
                </c:pt>
                <c:pt idx="3">
                  <c:v>1</c:v>
                </c:pt>
              </c:numCache>
            </c:numRef>
          </c:val>
          <c:extLst>
            <c:ext xmlns:c16="http://schemas.microsoft.com/office/drawing/2014/chart" uri="{C3380CC4-5D6E-409C-BE32-E72D297353CC}">
              <c16:uniqueId val="{00000003-A4D4-4E36-8DE5-5BDB9EEB4EB1}"/>
            </c:ext>
          </c:extLst>
        </c:ser>
        <c:ser>
          <c:idx val="5"/>
          <c:order val="5"/>
          <c:tx>
            <c:strRef>
              <c:f>Pivot_Table!$J$93:$J$94</c:f>
              <c:strCache>
                <c:ptCount val="1"/>
                <c:pt idx="0">
                  <c:v>Unknown</c:v>
                </c:pt>
              </c:strCache>
            </c:strRef>
          </c:tx>
          <c:spPr>
            <a:solidFill>
              <a:schemeClr val="accent6"/>
            </a:solidFill>
            <a:ln>
              <a:noFill/>
            </a:ln>
            <a:effectLst/>
          </c:spPr>
          <c:invertIfNegative val="0"/>
          <c:cat>
            <c:strRef>
              <c:f>Pivot_Table!$D$95:$D$99</c:f>
              <c:strCache>
                <c:ptCount val="4"/>
                <c:pt idx="0">
                  <c:v>0-18</c:v>
                </c:pt>
                <c:pt idx="1">
                  <c:v>36-55</c:v>
                </c:pt>
                <c:pt idx="2">
                  <c:v>56+</c:v>
                </c:pt>
                <c:pt idx="3">
                  <c:v>19-35</c:v>
                </c:pt>
              </c:strCache>
            </c:strRef>
          </c:cat>
          <c:val>
            <c:numRef>
              <c:f>Pivot_Table!$J$95:$J$99</c:f>
              <c:numCache>
                <c:formatCode>General</c:formatCode>
                <c:ptCount val="4"/>
                <c:pt idx="0">
                  <c:v>8</c:v>
                </c:pt>
                <c:pt idx="2">
                  <c:v>2</c:v>
                </c:pt>
                <c:pt idx="3">
                  <c:v>1</c:v>
                </c:pt>
              </c:numCache>
            </c:numRef>
          </c:val>
          <c:extLst>
            <c:ext xmlns:c16="http://schemas.microsoft.com/office/drawing/2014/chart" uri="{C3380CC4-5D6E-409C-BE32-E72D297353CC}">
              <c16:uniqueId val="{00000004-A4D4-4E36-8DE5-5BDB9EEB4EB1}"/>
            </c:ext>
          </c:extLst>
        </c:ser>
        <c:dLbls>
          <c:showLegendKey val="0"/>
          <c:showVal val="0"/>
          <c:showCatName val="0"/>
          <c:showSerName val="0"/>
          <c:showPercent val="0"/>
          <c:showBubbleSize val="0"/>
        </c:dLbls>
        <c:gapWidth val="150"/>
        <c:overlap val="100"/>
        <c:axId val="291662367"/>
        <c:axId val="291675327"/>
      </c:barChart>
      <c:catAx>
        <c:axId val="29166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675327"/>
        <c:crosses val="autoZero"/>
        <c:auto val="1"/>
        <c:lblAlgn val="ctr"/>
        <c:lblOffset val="100"/>
        <c:noMultiLvlLbl val="0"/>
      </c:catAx>
      <c:valAx>
        <c:axId val="29167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66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1F497D"/>
                </a:solidFill>
                <a:latin typeface="+mn-lt"/>
                <a:ea typeface="+mn-ea"/>
                <a:cs typeface="+mn-cs"/>
              </a:defRPr>
            </a:pPr>
            <a:r>
              <a:rPr lang="en-US" sz="1600" b="1" i="0" u="none" strike="noStrike" kern="1200" baseline="0">
                <a:solidFill>
                  <a:srgbClr val="1F497D"/>
                </a:solidFill>
              </a:rPr>
              <a:t>Total Revenue by </a:t>
            </a:r>
            <a:r>
              <a:rPr lang="en-US" sz="1400" b="1" i="0" u="none" strike="noStrike" kern="1200" baseline="0">
                <a:solidFill>
                  <a:srgbClr val="1F497D"/>
                </a:solidFill>
              </a:rPr>
              <a:t>Diagnosis</a:t>
            </a:r>
            <a:endParaRPr lang="en-US" sz="1600" b="1" i="0" u="none" strike="noStrike" kern="1200" baseline="0">
              <a:solidFill>
                <a:srgbClr val="1F497D"/>
              </a:solidFill>
            </a:endParaRPr>
          </a:p>
        </c:rich>
      </c:tx>
      <c:layout>
        <c:manualLayout>
          <c:xMode val="edge"/>
          <c:yMode val="edge"/>
          <c:x val="2.1862935263581386E-2"/>
          <c:y val="5.459086021797118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1F497D"/>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3A5F"/>
          </a:solidFill>
          <a:ln>
            <a:noFill/>
          </a:ln>
          <a:effectLst>
            <a:outerShdw blurRad="40000" dist="23000" dir="5400000" rotWithShape="0">
              <a:srgbClr val="000000">
                <a:alpha val="35000"/>
              </a:srgbClr>
            </a:outerShdw>
          </a:effectLst>
        </c:spPr>
        <c:marker>
          <c:symbol val="none"/>
        </c:marker>
        <c:dLbl>
          <c:idx val="0"/>
          <c:numFmt formatCode="[&gt;=1000000]&quot;₦&quot;#,##0.0,,&quot;M&quot;;[&gt;=1000]&quot;₦&quot;#,##0.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97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Pivot_Table!$E$3</c:f>
              <c:strCache>
                <c:ptCount val="1"/>
                <c:pt idx="0">
                  <c:v>Total</c:v>
                </c:pt>
              </c:strCache>
            </c:strRef>
          </c:tx>
          <c:spPr>
            <a:solidFill>
              <a:srgbClr val="1E3A5F"/>
            </a:solidFill>
            <a:ln>
              <a:noFill/>
            </a:ln>
            <a:effectLst>
              <a:outerShdw blurRad="40000" dist="23000" dir="5400000" rotWithShape="0">
                <a:srgbClr val="000000">
                  <a:alpha val="35000"/>
                </a:srgbClr>
              </a:outerShdw>
            </a:effectLst>
          </c:spPr>
          <c:invertIfNegative val="0"/>
          <c:dLbls>
            <c:numFmt formatCode="[&gt;=1000000]&quot;₦&quot;#,##0.0,,&quot;M&quot;;[&gt;=1000]&quot;₦&quot;#,##0.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97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Pivot_Table!$D$4:$D$10</c:f>
              <c:strCache>
                <c:ptCount val="6"/>
                <c:pt idx="0">
                  <c:v>Malaria</c:v>
                </c:pt>
                <c:pt idx="1">
                  <c:v>Hypertension</c:v>
                </c:pt>
                <c:pt idx="2">
                  <c:v>Diabetes</c:v>
                </c:pt>
                <c:pt idx="3">
                  <c:v>Typhoid</c:v>
                </c:pt>
                <c:pt idx="4">
                  <c:v>Asthma</c:v>
                </c:pt>
                <c:pt idx="5">
                  <c:v>Unknown</c:v>
                </c:pt>
              </c:strCache>
            </c:strRef>
          </c:cat>
          <c:val>
            <c:numRef>
              <c:f>Pivot_Table!$E$4:$E$10</c:f>
              <c:numCache>
                <c:formatCode>[$₦-469]\ #,##0.00</c:formatCode>
                <c:ptCount val="6"/>
                <c:pt idx="0">
                  <c:v>307353.77</c:v>
                </c:pt>
                <c:pt idx="1">
                  <c:v>205245.61000000002</c:v>
                </c:pt>
                <c:pt idx="2">
                  <c:v>202756.41</c:v>
                </c:pt>
                <c:pt idx="3">
                  <c:v>148284.60999999999</c:v>
                </c:pt>
                <c:pt idx="4">
                  <c:v>144804.95000000001</c:v>
                </c:pt>
                <c:pt idx="5">
                  <c:v>34273.56</c:v>
                </c:pt>
              </c:numCache>
            </c:numRef>
          </c:val>
          <c:extLst>
            <c:ext xmlns:c16="http://schemas.microsoft.com/office/drawing/2014/chart" uri="{C3380CC4-5D6E-409C-BE32-E72D297353CC}">
              <c16:uniqueId val="{00000000-C497-436A-9697-272CF86C6016}"/>
            </c:ext>
          </c:extLst>
        </c:ser>
        <c:dLbls>
          <c:dLblPos val="outEnd"/>
          <c:showLegendKey val="0"/>
          <c:showVal val="1"/>
          <c:showCatName val="0"/>
          <c:showSerName val="0"/>
          <c:showPercent val="0"/>
          <c:showBubbleSize val="0"/>
        </c:dLbls>
        <c:gapWidth val="100"/>
        <c:axId val="2115408671"/>
        <c:axId val="2115380831"/>
      </c:barChart>
      <c:catAx>
        <c:axId val="211540867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1F497D"/>
                </a:solidFill>
                <a:latin typeface="+mn-lt"/>
                <a:ea typeface="+mn-ea"/>
                <a:cs typeface="+mn-cs"/>
              </a:defRPr>
            </a:pPr>
            <a:endParaRPr lang="en-US"/>
          </a:p>
        </c:txPr>
        <c:crossAx val="2115380831"/>
        <c:crosses val="autoZero"/>
        <c:auto val="1"/>
        <c:lblAlgn val="ctr"/>
        <c:lblOffset val="100"/>
        <c:noMultiLvlLbl val="0"/>
      </c:catAx>
      <c:valAx>
        <c:axId val="2115380831"/>
        <c:scaling>
          <c:orientation val="minMax"/>
        </c:scaling>
        <c:delete val="1"/>
        <c:axPos val="b"/>
        <c:numFmt formatCode="[$₦-469]\ #,##0.00" sourceLinked="1"/>
        <c:majorTickMark val="out"/>
        <c:minorTickMark val="none"/>
        <c:tickLblPos val="nextTo"/>
        <c:crossAx val="211540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[messy_healthcare_dataset(AutoRecovered).xlsx]Pivot_Table!PivotTable11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t>Data Quality (Missing vs OK)</a:t>
            </a:r>
          </a:p>
        </c:rich>
      </c:tx>
      <c:layout>
        <c:manualLayout>
          <c:xMode val="edge"/>
          <c:yMode val="edge"/>
          <c:x val="4.6639420655168684E-2"/>
          <c:y val="3.66552992495656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chemeClr val="bg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1F497D"/>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1E3A5F"/>
          </a:soli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ysClr val="windowText" lastClr="000000">
                <a:lumMod val="25000"/>
                <a:lumOff val="75000"/>
                <a:alpha val="99000"/>
              </a:sysClr>
            </a:solidFill>
          </a:ln>
          <a:effectLst>
            <a:outerShdw blurRad="40000" dist="23000" dir="5400000" rotWithShape="0">
              <a:srgbClr val="000000">
                <a:alpha val="35000"/>
              </a:srgbClr>
            </a:outerShdw>
          </a:effectLst>
        </c:spPr>
      </c:pivotFmt>
    </c:pivotFmts>
    <c:plotArea>
      <c:layout/>
      <c:doughnutChart>
        <c:varyColors val="1"/>
        <c:ser>
          <c:idx val="0"/>
          <c:order val="0"/>
          <c:tx>
            <c:strRef>
              <c:f>Pivot_Table!$E$28</c:f>
              <c:strCache>
                <c:ptCount val="1"/>
                <c:pt idx="0">
                  <c:v>Total</c:v>
                </c:pt>
              </c:strCache>
            </c:strRef>
          </c:tx>
          <c:dPt>
            <c:idx val="0"/>
            <c:bubble3D val="0"/>
            <c:spPr>
              <a:solidFill>
                <a:srgbClr val="1E3A5F"/>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5E9-4F43-8CBA-C294BF7A49F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ysClr val="windowText" lastClr="000000">
                    <a:lumMod val="25000"/>
                    <a:lumOff val="75000"/>
                    <a:alpha val="99000"/>
                  </a:sys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3-75E9-4F43-8CBA-C294BF7A49FA}"/>
              </c:ext>
            </c:extLst>
          </c:dPt>
          <c:dLbls>
            <c:spPr>
              <a:solidFill>
                <a:schemeClr val="bg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1F497D"/>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Pivot_Table!$D$29:$D$31</c:f>
              <c:strCache>
                <c:ptCount val="2"/>
                <c:pt idx="0">
                  <c:v>ok</c:v>
                </c:pt>
                <c:pt idx="1">
                  <c:v>missing</c:v>
                </c:pt>
              </c:strCache>
            </c:strRef>
          </c:cat>
          <c:val>
            <c:numRef>
              <c:f>Pivot_Table!$E$29:$E$31</c:f>
              <c:numCache>
                <c:formatCode>General</c:formatCode>
                <c:ptCount val="2"/>
                <c:pt idx="0">
                  <c:v>37</c:v>
                </c:pt>
                <c:pt idx="1">
                  <c:v>63</c:v>
                </c:pt>
              </c:numCache>
            </c:numRef>
          </c:val>
          <c:extLst>
            <c:ext xmlns:c16="http://schemas.microsoft.com/office/drawing/2014/chart" uri="{C3380CC4-5D6E-409C-BE32-E72D297353CC}">
              <c16:uniqueId val="{00000004-75E9-4F43-8CBA-C294BF7A49F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1F497D"/>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[messy_healthcare_dataset(AutoRecovered).xlsx]Pivot_Table!PivotTable12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400" b="1" i="0" u="none" strike="noStrike" kern="1200" baseline="0">
                <a:solidFill>
                  <a:srgbClr val="1F497D"/>
                </a:solidFill>
              </a:rPr>
              <a:t>Monthly Revenue Trend</a:t>
            </a:r>
          </a:p>
        </c:rich>
      </c:tx>
      <c:layout>
        <c:manualLayout>
          <c:xMode val="edge"/>
          <c:yMode val="edge"/>
          <c:x val="2.1377875914820571E-2"/>
          <c:y val="3.284534534534534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1E3A5F"/>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gt;=1000000]&quot;₦&quot;#,##0.0,,&quot;M&quot;;[&gt;=1000]&quot;₦&quot;#,##0.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97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Pivot_Table!$E$42</c:f>
              <c:strCache>
                <c:ptCount val="1"/>
                <c:pt idx="0">
                  <c:v>Total</c:v>
                </c:pt>
              </c:strCache>
            </c:strRef>
          </c:tx>
          <c:spPr>
            <a:ln w="34925" cap="rnd">
              <a:solidFill>
                <a:srgbClr val="1E3A5F"/>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numFmt formatCode="[&gt;=1000000]&quot;₦&quot;#,##0.0,,&quot;M&quot;;[&gt;=1000]&quot;₦&quot;#,##0.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97D"/>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Pivot_Table!$D$43:$D$55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Pivot_Table!$E$43:$E$55</c:f>
              <c:numCache>
                <c:formatCode>[$₦-469]\ #,##0.00</c:formatCode>
                <c:ptCount val="12"/>
                <c:pt idx="0">
                  <c:v>115729.09000000001</c:v>
                </c:pt>
                <c:pt idx="1">
                  <c:v>66917.919999999998</c:v>
                </c:pt>
                <c:pt idx="2">
                  <c:v>220262.16999999998</c:v>
                </c:pt>
                <c:pt idx="3">
                  <c:v>47546.49</c:v>
                </c:pt>
                <c:pt idx="4">
                  <c:v>13591.42</c:v>
                </c:pt>
                <c:pt idx="6">
                  <c:v>210498.56999999998</c:v>
                </c:pt>
                <c:pt idx="7">
                  <c:v>42165.49</c:v>
                </c:pt>
                <c:pt idx="8">
                  <c:v>128492.03</c:v>
                </c:pt>
                <c:pt idx="9">
                  <c:v>109512.28000000001</c:v>
                </c:pt>
                <c:pt idx="10">
                  <c:v>66249.679999999993</c:v>
                </c:pt>
                <c:pt idx="11">
                  <c:v>21753.77</c:v>
                </c:pt>
              </c:numCache>
            </c:numRef>
          </c:val>
          <c:smooth val="1"/>
          <c:extLst>
            <c:ext xmlns:c16="http://schemas.microsoft.com/office/drawing/2014/chart" uri="{C3380CC4-5D6E-409C-BE32-E72D297353CC}">
              <c16:uniqueId val="{00000000-EA2E-421F-9C4F-50183082018D}"/>
            </c:ext>
          </c:extLst>
        </c:ser>
        <c:dLbls>
          <c:dLblPos val="t"/>
          <c:showLegendKey val="0"/>
          <c:showVal val="1"/>
          <c:showCatName val="0"/>
          <c:showSerName val="0"/>
          <c:showPercent val="0"/>
          <c:showBubbleSize val="0"/>
        </c:dLbls>
        <c:marker val="1"/>
        <c:smooth val="0"/>
        <c:axId val="201769103"/>
        <c:axId val="201784463"/>
      </c:lineChart>
      <c:catAx>
        <c:axId val="201769103"/>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baseline="0">
                <a:solidFill>
                  <a:srgbClr val="1F497D"/>
                </a:solidFill>
                <a:latin typeface="+mn-lt"/>
                <a:ea typeface="+mn-ea"/>
                <a:cs typeface="+mn-cs"/>
              </a:defRPr>
            </a:pPr>
            <a:endParaRPr lang="en-US"/>
          </a:p>
        </c:txPr>
        <c:crossAx val="201784463"/>
        <c:crosses val="autoZero"/>
        <c:auto val="1"/>
        <c:lblAlgn val="ctr"/>
        <c:lblOffset val="100"/>
        <c:noMultiLvlLbl val="0"/>
      </c:catAx>
      <c:valAx>
        <c:axId val="201784463"/>
        <c:scaling>
          <c:orientation val="minMax"/>
        </c:scaling>
        <c:delete val="1"/>
        <c:axPos val="l"/>
        <c:numFmt formatCode="[$₦-469]\ #,##0.00" sourceLinked="1"/>
        <c:majorTickMark val="out"/>
        <c:minorTickMark val="none"/>
        <c:tickLblPos val="nextTo"/>
        <c:crossAx val="20176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F497D"/>
                </a:solidFill>
              </a:rPr>
              <a:t>Patient</a:t>
            </a:r>
            <a:r>
              <a:rPr lang="en-US" b="1" baseline="0">
                <a:solidFill>
                  <a:srgbClr val="1F497D"/>
                </a:solidFill>
              </a:rPr>
              <a:t> Visits by Age Group</a:t>
            </a:r>
            <a:endParaRPr lang="en-US" b="1">
              <a:solidFill>
                <a:srgbClr val="1F497D"/>
              </a:solidFill>
            </a:endParaRPr>
          </a:p>
        </c:rich>
      </c:tx>
      <c:layout>
        <c:manualLayout>
          <c:xMode val="edge"/>
          <c:yMode val="edge"/>
          <c:x val="2.2640468285233414E-2"/>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497D"/>
          </a:solidFill>
          <a:ln>
            <a:solidFill>
              <a:schemeClr val="tx1">
                <a:lumMod val="15000"/>
                <a:lumOff val="85000"/>
              </a:schemeClr>
            </a:solidFill>
          </a:ln>
          <a:effectLst/>
        </c:spPr>
        <c:marker>
          <c:symbol val="none"/>
        </c:marker>
        <c:dLbl>
          <c:idx val="0"/>
          <c:spPr>
            <a:solidFill>
              <a:schemeClr val="bg1"/>
            </a:solid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97D"/>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Pivot_Table!$E$78</c:f>
              <c:strCache>
                <c:ptCount val="1"/>
                <c:pt idx="0">
                  <c:v>Total</c:v>
                </c:pt>
              </c:strCache>
            </c:strRef>
          </c:tx>
          <c:spPr>
            <a:solidFill>
              <a:srgbClr val="1F497D"/>
            </a:solidFill>
            <a:ln>
              <a:solidFill>
                <a:schemeClr val="tx1">
                  <a:lumMod val="15000"/>
                  <a:lumOff val="85000"/>
                </a:schemeClr>
              </a:solidFill>
            </a:ln>
            <a:effectLst/>
          </c:spPr>
          <c:invertIfNegative val="0"/>
          <c:dLbls>
            <c:spPr>
              <a:solidFill>
                <a:schemeClr val="bg1"/>
              </a:solid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97D"/>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Pivot_Table!$D$79:$D$83</c:f>
              <c:strCache>
                <c:ptCount val="4"/>
                <c:pt idx="0">
                  <c:v>0-18</c:v>
                </c:pt>
                <c:pt idx="1">
                  <c:v>36-55</c:v>
                </c:pt>
                <c:pt idx="2">
                  <c:v>56+</c:v>
                </c:pt>
                <c:pt idx="3">
                  <c:v>19-35</c:v>
                </c:pt>
              </c:strCache>
            </c:strRef>
          </c:cat>
          <c:val>
            <c:numRef>
              <c:f>Pivot_Table!$E$79:$E$83</c:f>
              <c:numCache>
                <c:formatCode>General</c:formatCode>
                <c:ptCount val="4"/>
                <c:pt idx="0">
                  <c:v>69</c:v>
                </c:pt>
                <c:pt idx="1">
                  <c:v>15</c:v>
                </c:pt>
                <c:pt idx="2">
                  <c:v>11</c:v>
                </c:pt>
                <c:pt idx="3">
                  <c:v>5</c:v>
                </c:pt>
              </c:numCache>
            </c:numRef>
          </c:val>
          <c:extLst>
            <c:ext xmlns:c16="http://schemas.microsoft.com/office/drawing/2014/chart" uri="{C3380CC4-5D6E-409C-BE32-E72D297353CC}">
              <c16:uniqueId val="{00000000-81FA-4BAC-9DA7-5AAC8E7A8938}"/>
            </c:ext>
          </c:extLst>
        </c:ser>
        <c:dLbls>
          <c:dLblPos val="outEnd"/>
          <c:showLegendKey val="0"/>
          <c:showVal val="1"/>
          <c:showCatName val="0"/>
          <c:showSerName val="0"/>
          <c:showPercent val="0"/>
          <c:showBubbleSize val="0"/>
        </c:dLbls>
        <c:gapWidth val="100"/>
        <c:overlap val="-27"/>
        <c:axId val="291709407"/>
        <c:axId val="291699807"/>
      </c:barChart>
      <c:catAx>
        <c:axId val="2917094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1F497D"/>
                </a:solidFill>
                <a:latin typeface="+mn-lt"/>
                <a:ea typeface="+mn-ea"/>
                <a:cs typeface="+mn-cs"/>
              </a:defRPr>
            </a:pPr>
            <a:endParaRPr lang="en-US"/>
          </a:p>
        </c:txPr>
        <c:crossAx val="291699807"/>
        <c:crosses val="autoZero"/>
        <c:auto val="1"/>
        <c:lblAlgn val="ctr"/>
        <c:lblOffset val="100"/>
        <c:noMultiLvlLbl val="0"/>
      </c:catAx>
      <c:valAx>
        <c:axId val="291699807"/>
        <c:scaling>
          <c:orientation val="minMax"/>
        </c:scaling>
        <c:delete val="1"/>
        <c:axPos val="l"/>
        <c:numFmt formatCode="General" sourceLinked="1"/>
        <c:majorTickMark val="out"/>
        <c:minorTickMark val="none"/>
        <c:tickLblPos val="nextTo"/>
        <c:crossAx val="29170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F497D"/>
                </a:solidFill>
              </a:rPr>
              <a:t>Diagnosis Distribution by Age</a:t>
            </a:r>
            <a:r>
              <a:rPr lang="en-US" b="1" baseline="0">
                <a:solidFill>
                  <a:srgbClr val="1F497D"/>
                </a:solidFill>
              </a:rPr>
              <a:t> Group</a:t>
            </a:r>
            <a:endParaRPr lang="en-US" b="1">
              <a:solidFill>
                <a:srgbClr val="1F497D"/>
              </a:solidFill>
            </a:endParaRPr>
          </a:p>
        </c:rich>
      </c:tx>
      <c:layout>
        <c:manualLayout>
          <c:xMode val="edge"/>
          <c:yMode val="edge"/>
          <c:x val="2.3898516805266997E-2"/>
          <c:y val="3.9329600634228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E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Pivot_Table!$E$93:$E$94</c:f>
              <c:strCache>
                <c:ptCount val="1"/>
                <c:pt idx="0">
                  <c:v>Asthma</c:v>
                </c:pt>
              </c:strCache>
            </c:strRef>
          </c:tx>
          <c:spPr>
            <a:solidFill>
              <a:schemeClr val="accent1"/>
            </a:solidFill>
            <a:ln>
              <a:noFill/>
            </a:ln>
            <a:effectLst/>
          </c:spPr>
          <c:invertIfNegative val="0"/>
          <c:cat>
            <c:strRef>
              <c:f>Pivot_Table!$D$95:$D$99</c:f>
              <c:strCache>
                <c:ptCount val="4"/>
                <c:pt idx="0">
                  <c:v>0-18</c:v>
                </c:pt>
                <c:pt idx="1">
                  <c:v>36-55</c:v>
                </c:pt>
                <c:pt idx="2">
                  <c:v>56+</c:v>
                </c:pt>
                <c:pt idx="3">
                  <c:v>19-35</c:v>
                </c:pt>
              </c:strCache>
            </c:strRef>
          </c:cat>
          <c:val>
            <c:numRef>
              <c:f>Pivot_Table!$E$95:$E$99</c:f>
              <c:numCache>
                <c:formatCode>General</c:formatCode>
                <c:ptCount val="4"/>
                <c:pt idx="0">
                  <c:v>10</c:v>
                </c:pt>
                <c:pt idx="1">
                  <c:v>4</c:v>
                </c:pt>
                <c:pt idx="2">
                  <c:v>2</c:v>
                </c:pt>
              </c:numCache>
            </c:numRef>
          </c:val>
          <c:extLst>
            <c:ext xmlns:c16="http://schemas.microsoft.com/office/drawing/2014/chart" uri="{C3380CC4-5D6E-409C-BE32-E72D297353CC}">
              <c16:uniqueId val="{00000000-8780-4909-B60A-6496197308BF}"/>
            </c:ext>
          </c:extLst>
        </c:ser>
        <c:ser>
          <c:idx val="1"/>
          <c:order val="1"/>
          <c:tx>
            <c:strRef>
              <c:f>Pivot_Table!$F$93:$F$94</c:f>
              <c:strCache>
                <c:ptCount val="1"/>
                <c:pt idx="0">
                  <c:v>Diabetes</c:v>
                </c:pt>
              </c:strCache>
            </c:strRef>
          </c:tx>
          <c:spPr>
            <a:solidFill>
              <a:schemeClr val="accent2"/>
            </a:solidFill>
            <a:ln>
              <a:noFill/>
            </a:ln>
            <a:effectLst/>
          </c:spPr>
          <c:invertIfNegative val="0"/>
          <c:cat>
            <c:strRef>
              <c:f>Pivot_Table!$D$95:$D$99</c:f>
              <c:strCache>
                <c:ptCount val="4"/>
                <c:pt idx="0">
                  <c:v>0-18</c:v>
                </c:pt>
                <c:pt idx="1">
                  <c:v>36-55</c:v>
                </c:pt>
                <c:pt idx="2">
                  <c:v>56+</c:v>
                </c:pt>
                <c:pt idx="3">
                  <c:v>19-35</c:v>
                </c:pt>
              </c:strCache>
            </c:strRef>
          </c:cat>
          <c:val>
            <c:numRef>
              <c:f>Pivot_Table!$F$95:$F$99</c:f>
              <c:numCache>
                <c:formatCode>General</c:formatCode>
                <c:ptCount val="4"/>
                <c:pt idx="0">
                  <c:v>11</c:v>
                </c:pt>
                <c:pt idx="1">
                  <c:v>1</c:v>
                </c:pt>
                <c:pt idx="2">
                  <c:v>4</c:v>
                </c:pt>
                <c:pt idx="3">
                  <c:v>1</c:v>
                </c:pt>
              </c:numCache>
            </c:numRef>
          </c:val>
          <c:extLst>
            <c:ext xmlns:c16="http://schemas.microsoft.com/office/drawing/2014/chart" uri="{C3380CC4-5D6E-409C-BE32-E72D297353CC}">
              <c16:uniqueId val="{00000001-9F2E-40D2-B57E-FC9CB89E97E6}"/>
            </c:ext>
          </c:extLst>
        </c:ser>
        <c:ser>
          <c:idx val="2"/>
          <c:order val="2"/>
          <c:tx>
            <c:strRef>
              <c:f>Pivot_Table!$G$93:$G$94</c:f>
              <c:strCache>
                <c:ptCount val="1"/>
                <c:pt idx="0">
                  <c:v>Hypertension</c:v>
                </c:pt>
              </c:strCache>
            </c:strRef>
          </c:tx>
          <c:spPr>
            <a:solidFill>
              <a:schemeClr val="accent3"/>
            </a:solidFill>
            <a:ln>
              <a:noFill/>
            </a:ln>
            <a:effectLst/>
          </c:spPr>
          <c:invertIfNegative val="0"/>
          <c:cat>
            <c:strRef>
              <c:f>Pivot_Table!$D$95:$D$99</c:f>
              <c:strCache>
                <c:ptCount val="4"/>
                <c:pt idx="0">
                  <c:v>0-18</c:v>
                </c:pt>
                <c:pt idx="1">
                  <c:v>36-55</c:v>
                </c:pt>
                <c:pt idx="2">
                  <c:v>56+</c:v>
                </c:pt>
                <c:pt idx="3">
                  <c:v>19-35</c:v>
                </c:pt>
              </c:strCache>
            </c:strRef>
          </c:cat>
          <c:val>
            <c:numRef>
              <c:f>Pivot_Table!$G$95:$G$99</c:f>
              <c:numCache>
                <c:formatCode>General</c:formatCode>
                <c:ptCount val="4"/>
                <c:pt idx="0">
                  <c:v>11</c:v>
                </c:pt>
                <c:pt idx="1">
                  <c:v>3</c:v>
                </c:pt>
                <c:pt idx="2">
                  <c:v>1</c:v>
                </c:pt>
              </c:numCache>
            </c:numRef>
          </c:val>
          <c:extLst>
            <c:ext xmlns:c16="http://schemas.microsoft.com/office/drawing/2014/chart" uri="{C3380CC4-5D6E-409C-BE32-E72D297353CC}">
              <c16:uniqueId val="{00000002-9F2E-40D2-B57E-FC9CB89E97E6}"/>
            </c:ext>
          </c:extLst>
        </c:ser>
        <c:ser>
          <c:idx val="3"/>
          <c:order val="3"/>
          <c:tx>
            <c:strRef>
              <c:f>Pivot_Table!$H$93:$H$94</c:f>
              <c:strCache>
                <c:ptCount val="1"/>
                <c:pt idx="0">
                  <c:v>Malaria</c:v>
                </c:pt>
              </c:strCache>
            </c:strRef>
          </c:tx>
          <c:spPr>
            <a:solidFill>
              <a:srgbClr val="1E3A5F"/>
            </a:solidFill>
            <a:ln>
              <a:noFill/>
            </a:ln>
            <a:effectLst/>
          </c:spPr>
          <c:invertIfNegative val="0"/>
          <c:cat>
            <c:strRef>
              <c:f>Pivot_Table!$D$95:$D$99</c:f>
              <c:strCache>
                <c:ptCount val="4"/>
                <c:pt idx="0">
                  <c:v>0-18</c:v>
                </c:pt>
                <c:pt idx="1">
                  <c:v>36-55</c:v>
                </c:pt>
                <c:pt idx="2">
                  <c:v>56+</c:v>
                </c:pt>
                <c:pt idx="3">
                  <c:v>19-35</c:v>
                </c:pt>
              </c:strCache>
            </c:strRef>
          </c:cat>
          <c:val>
            <c:numRef>
              <c:f>Pivot_Table!$H$95:$H$99</c:f>
              <c:numCache>
                <c:formatCode>General</c:formatCode>
                <c:ptCount val="4"/>
                <c:pt idx="0">
                  <c:v>20</c:v>
                </c:pt>
                <c:pt idx="1">
                  <c:v>5</c:v>
                </c:pt>
                <c:pt idx="2">
                  <c:v>2</c:v>
                </c:pt>
                <c:pt idx="3">
                  <c:v>2</c:v>
                </c:pt>
              </c:numCache>
            </c:numRef>
          </c:val>
          <c:extLst>
            <c:ext xmlns:c16="http://schemas.microsoft.com/office/drawing/2014/chart" uri="{C3380CC4-5D6E-409C-BE32-E72D297353CC}">
              <c16:uniqueId val="{00000003-9F2E-40D2-B57E-FC9CB89E97E6}"/>
            </c:ext>
          </c:extLst>
        </c:ser>
        <c:ser>
          <c:idx val="4"/>
          <c:order val="4"/>
          <c:tx>
            <c:strRef>
              <c:f>Pivot_Table!$I$93:$I$94</c:f>
              <c:strCache>
                <c:ptCount val="1"/>
                <c:pt idx="0">
                  <c:v>Typhoid</c:v>
                </c:pt>
              </c:strCache>
            </c:strRef>
          </c:tx>
          <c:spPr>
            <a:solidFill>
              <a:schemeClr val="accent5"/>
            </a:solidFill>
            <a:ln>
              <a:noFill/>
            </a:ln>
            <a:effectLst/>
          </c:spPr>
          <c:invertIfNegative val="0"/>
          <c:cat>
            <c:strRef>
              <c:f>Pivot_Table!$D$95:$D$99</c:f>
              <c:strCache>
                <c:ptCount val="4"/>
                <c:pt idx="0">
                  <c:v>0-18</c:v>
                </c:pt>
                <c:pt idx="1">
                  <c:v>36-55</c:v>
                </c:pt>
                <c:pt idx="2">
                  <c:v>56+</c:v>
                </c:pt>
                <c:pt idx="3">
                  <c:v>19-35</c:v>
                </c:pt>
              </c:strCache>
            </c:strRef>
          </c:cat>
          <c:val>
            <c:numRef>
              <c:f>Pivot_Table!$I$95:$I$99</c:f>
              <c:numCache>
                <c:formatCode>General</c:formatCode>
                <c:ptCount val="4"/>
                <c:pt idx="0">
                  <c:v>9</c:v>
                </c:pt>
                <c:pt idx="1">
                  <c:v>2</c:v>
                </c:pt>
                <c:pt idx="3">
                  <c:v>1</c:v>
                </c:pt>
              </c:numCache>
            </c:numRef>
          </c:val>
          <c:extLst>
            <c:ext xmlns:c16="http://schemas.microsoft.com/office/drawing/2014/chart" uri="{C3380CC4-5D6E-409C-BE32-E72D297353CC}">
              <c16:uniqueId val="{00000004-9F2E-40D2-B57E-FC9CB89E97E6}"/>
            </c:ext>
          </c:extLst>
        </c:ser>
        <c:ser>
          <c:idx val="5"/>
          <c:order val="5"/>
          <c:tx>
            <c:strRef>
              <c:f>Pivot_Table!$J$93:$J$94</c:f>
              <c:strCache>
                <c:ptCount val="1"/>
                <c:pt idx="0">
                  <c:v>Unknown</c:v>
                </c:pt>
              </c:strCache>
            </c:strRef>
          </c:tx>
          <c:spPr>
            <a:solidFill>
              <a:schemeClr val="accent6"/>
            </a:solidFill>
            <a:ln>
              <a:noFill/>
            </a:ln>
            <a:effectLst/>
          </c:spPr>
          <c:invertIfNegative val="0"/>
          <c:cat>
            <c:strRef>
              <c:f>Pivot_Table!$D$95:$D$99</c:f>
              <c:strCache>
                <c:ptCount val="4"/>
                <c:pt idx="0">
                  <c:v>0-18</c:v>
                </c:pt>
                <c:pt idx="1">
                  <c:v>36-55</c:v>
                </c:pt>
                <c:pt idx="2">
                  <c:v>56+</c:v>
                </c:pt>
                <c:pt idx="3">
                  <c:v>19-35</c:v>
                </c:pt>
              </c:strCache>
            </c:strRef>
          </c:cat>
          <c:val>
            <c:numRef>
              <c:f>Pivot_Table!$J$95:$J$99</c:f>
              <c:numCache>
                <c:formatCode>General</c:formatCode>
                <c:ptCount val="4"/>
                <c:pt idx="0">
                  <c:v>8</c:v>
                </c:pt>
                <c:pt idx="2">
                  <c:v>2</c:v>
                </c:pt>
                <c:pt idx="3">
                  <c:v>1</c:v>
                </c:pt>
              </c:numCache>
            </c:numRef>
          </c:val>
          <c:extLst>
            <c:ext xmlns:c16="http://schemas.microsoft.com/office/drawing/2014/chart" uri="{C3380CC4-5D6E-409C-BE32-E72D297353CC}">
              <c16:uniqueId val="{00000005-9F2E-40D2-B57E-FC9CB89E97E6}"/>
            </c:ext>
          </c:extLst>
        </c:ser>
        <c:dLbls>
          <c:showLegendKey val="0"/>
          <c:showVal val="0"/>
          <c:showCatName val="0"/>
          <c:showSerName val="0"/>
          <c:showPercent val="0"/>
          <c:showBubbleSize val="0"/>
        </c:dLbls>
        <c:gapWidth val="50"/>
        <c:overlap val="100"/>
        <c:axId val="291662367"/>
        <c:axId val="291675327"/>
      </c:barChart>
      <c:catAx>
        <c:axId val="291662367"/>
        <c:scaling>
          <c:orientation val="minMax"/>
        </c:scaling>
        <c:delete val="0"/>
        <c:axPos val="b"/>
        <c:numFmt formatCode="General" sourceLinked="1"/>
        <c:majorTickMark val="in"/>
        <c:minorTickMark val="none"/>
        <c:tickLblPos val="nextTo"/>
        <c:spPr>
          <a:solidFill>
            <a:schemeClr val="bg1">
              <a:alpha val="0"/>
            </a:schemeClr>
          </a:solidFill>
          <a:ln w="9525" cap="flat" cmpd="sng" algn="ctr">
            <a:noFill/>
            <a:round/>
          </a:ln>
          <a:effectLst>
            <a:outerShdw blurRad="50800" dist="50800" dir="5400000" algn="ctr" rotWithShape="0">
              <a:srgbClr val="1F497D"/>
            </a:outerShdw>
          </a:effectLst>
        </c:spPr>
        <c:txPr>
          <a:bodyPr rot="-60000000" spcFirstLastPara="1" vertOverflow="ellipsis" vert="horz" wrap="square" anchor="ctr" anchorCtr="1"/>
          <a:lstStyle/>
          <a:p>
            <a:pPr>
              <a:defRPr sz="900" b="1" i="0" u="none" strike="noStrike" kern="1200" baseline="0">
                <a:ln>
                  <a:noFill/>
                </a:ln>
                <a:solidFill>
                  <a:srgbClr val="1F497D"/>
                </a:solidFill>
                <a:latin typeface="+mn-lt"/>
                <a:ea typeface="+mn-ea"/>
                <a:cs typeface="+mn-cs"/>
              </a:defRPr>
            </a:pPr>
            <a:endParaRPr lang="en-US"/>
          </a:p>
        </c:txPr>
        <c:crossAx val="291675327"/>
        <c:crosses val="autoZero"/>
        <c:auto val="1"/>
        <c:lblAlgn val="ctr"/>
        <c:lblOffset val="100"/>
        <c:noMultiLvlLbl val="0"/>
      </c:catAx>
      <c:valAx>
        <c:axId val="291675327"/>
        <c:scaling>
          <c:orientation val="minMax"/>
        </c:scaling>
        <c:delete val="1"/>
        <c:axPos val="l"/>
        <c:numFmt formatCode="General" sourceLinked="1"/>
        <c:majorTickMark val="out"/>
        <c:minorTickMark val="none"/>
        <c:tickLblPos val="nextTo"/>
        <c:crossAx val="291662367"/>
        <c:crosses val="autoZero"/>
        <c:crossBetween val="between"/>
      </c:valAx>
      <c:spPr>
        <a:noFill/>
        <a:ln>
          <a:noFill/>
        </a:ln>
        <a:effectLst/>
      </c:spPr>
    </c:plotArea>
    <c:legend>
      <c:legendPos val="r"/>
      <c:layout>
        <c:manualLayout>
          <c:xMode val="edge"/>
          <c:yMode val="edge"/>
          <c:x val="0.77302575327835943"/>
          <c:y val="0.261169064636805"/>
          <c:w val="0.20558819324615915"/>
          <c:h val="0.51562805213467"/>
        </c:manualLayout>
      </c:layout>
      <c:overlay val="0"/>
      <c:spPr>
        <a:noFill/>
        <a:ln>
          <a:noFill/>
        </a:ln>
        <a:effectLst/>
      </c:spPr>
      <c:txPr>
        <a:bodyPr rot="0" spcFirstLastPara="1" vertOverflow="ellipsis" vert="horz" wrap="square" anchor="ctr" anchorCtr="1"/>
        <a:lstStyle/>
        <a:p>
          <a:pPr>
            <a:defRPr sz="1000" b="1" i="0" u="none" strike="noStrike" kern="1200" baseline="0">
              <a:ln>
                <a:noFill/>
              </a:ln>
              <a:solidFill>
                <a:srgbClr val="1F497D"/>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[messy_healthcare_dataset(AutoRecovered).xlsx]Pivot_Table!PivotTable9</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1F497D"/>
                </a:solidFill>
              </a:rPr>
              <a:t>Total Revenue by Gender</a:t>
            </a:r>
          </a:p>
        </c:rich>
      </c:tx>
      <c:layout>
        <c:manualLayout>
          <c:xMode val="edge"/>
          <c:yMode val="edge"/>
          <c:x val="2.7965598739035372E-2"/>
          <c:y val="3.926187671770710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3A5F"/>
          </a:solidFill>
          <a:ln>
            <a:noFill/>
          </a:ln>
          <a:effectLst/>
        </c:spPr>
        <c:marker>
          <c:symbol val="none"/>
        </c:marker>
        <c:dLbl>
          <c:idx val="0"/>
          <c:numFmt formatCode="[&gt;=1000000]&quot;₦&quot;#,##0.0,,&quot;M&quot;;[&gt;=1000]&quot;₦&quot;#,##0.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97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Pivot_Table!$E$14</c:f>
              <c:strCache>
                <c:ptCount val="1"/>
                <c:pt idx="0">
                  <c:v>Total</c:v>
                </c:pt>
              </c:strCache>
            </c:strRef>
          </c:tx>
          <c:spPr>
            <a:solidFill>
              <a:srgbClr val="1E3A5F"/>
            </a:solidFill>
            <a:ln>
              <a:noFill/>
            </a:ln>
            <a:effectLst/>
          </c:spPr>
          <c:invertIfNegative val="0"/>
          <c:dLbls>
            <c:numFmt formatCode="[&gt;=1000000]&quot;₦&quot;#,##0.0,,&quot;M&quot;;[&gt;=1000]&quot;₦&quot;#,##0.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497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Pivot_Table!$D$15:$D$17</c:f>
              <c:strCache>
                <c:ptCount val="2"/>
                <c:pt idx="0">
                  <c:v>Female</c:v>
                </c:pt>
                <c:pt idx="1">
                  <c:v>Male</c:v>
                </c:pt>
              </c:strCache>
            </c:strRef>
          </c:cat>
          <c:val>
            <c:numRef>
              <c:f>Pivot_Table!$E$15:$E$17</c:f>
              <c:numCache>
                <c:formatCode>[$₦-469]\ #,##0.00</c:formatCode>
                <c:ptCount val="2"/>
                <c:pt idx="0">
                  <c:v>532591.30999999994</c:v>
                </c:pt>
                <c:pt idx="1">
                  <c:v>510127.60000000009</c:v>
                </c:pt>
              </c:numCache>
            </c:numRef>
          </c:val>
          <c:extLst>
            <c:ext xmlns:c16="http://schemas.microsoft.com/office/drawing/2014/chart" uri="{C3380CC4-5D6E-409C-BE32-E72D297353CC}">
              <c16:uniqueId val="{00000000-EFDF-492B-BF22-604985122241}"/>
            </c:ext>
          </c:extLst>
        </c:ser>
        <c:dLbls>
          <c:dLblPos val="outEnd"/>
          <c:showLegendKey val="0"/>
          <c:showVal val="1"/>
          <c:showCatName val="0"/>
          <c:showSerName val="0"/>
          <c:showPercent val="0"/>
          <c:showBubbleSize val="0"/>
        </c:dLbls>
        <c:gapWidth val="219"/>
        <c:overlap val="-27"/>
        <c:axId val="1744070079"/>
        <c:axId val="1744076319"/>
      </c:barChart>
      <c:catAx>
        <c:axId val="17440700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1F497D"/>
                </a:solidFill>
                <a:latin typeface="+mn-lt"/>
                <a:ea typeface="+mn-ea"/>
                <a:cs typeface="+mn-cs"/>
              </a:defRPr>
            </a:pPr>
            <a:endParaRPr lang="en-US"/>
          </a:p>
        </c:txPr>
        <c:crossAx val="1744076319"/>
        <c:crosses val="autoZero"/>
        <c:auto val="1"/>
        <c:lblAlgn val="ctr"/>
        <c:lblOffset val="100"/>
        <c:noMultiLvlLbl val="0"/>
      </c:catAx>
      <c:valAx>
        <c:axId val="1744076319"/>
        <c:scaling>
          <c:orientation val="minMax"/>
        </c:scaling>
        <c:delete val="1"/>
        <c:axPos val="l"/>
        <c:numFmt formatCode="[$₦-469]\ #,##0.00" sourceLinked="1"/>
        <c:majorTickMark val="none"/>
        <c:minorTickMark val="none"/>
        <c:tickLblPos val="nextTo"/>
        <c:crossAx val="1744070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196455</xdr:colOff>
      <xdr:row>0</xdr:row>
      <xdr:rowOff>86917</xdr:rowOff>
    </xdr:from>
    <xdr:to>
      <xdr:col>17</xdr:col>
      <xdr:colOff>119064</xdr:colOff>
      <xdr:row>12</xdr:row>
      <xdr:rowOff>47627</xdr:rowOff>
    </xdr:to>
    <xdr:graphicFrame macro="">
      <xdr:nvGraphicFramePr>
        <xdr:cNvPr id="2" name="Chart 1">
          <a:extLst>
            <a:ext uri="{FF2B5EF4-FFF2-40B4-BE49-F238E27FC236}">
              <a16:creationId xmlns:a16="http://schemas.microsoft.com/office/drawing/2014/main" id="{03CED7FB-2557-2B33-A2C1-8C5911339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446484</xdr:colOff>
      <xdr:row>12</xdr:row>
      <xdr:rowOff>86914</xdr:rowOff>
    </xdr:from>
    <xdr:to>
      <xdr:col>13</xdr:col>
      <xdr:colOff>488155</xdr:colOff>
      <xdr:row>24</xdr:row>
      <xdr:rowOff>130968</xdr:rowOff>
    </xdr:to>
    <xdr:graphicFrame macro="">
      <xdr:nvGraphicFramePr>
        <xdr:cNvPr id="3" name="Chart 2">
          <a:extLst>
            <a:ext uri="{FF2B5EF4-FFF2-40B4-BE49-F238E27FC236}">
              <a16:creationId xmlns:a16="http://schemas.microsoft.com/office/drawing/2014/main" id="{071F342D-F9E8-6659-B46C-93985DE48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494108</xdr:colOff>
      <xdr:row>25</xdr:row>
      <xdr:rowOff>63101</xdr:rowOff>
    </xdr:from>
    <xdr:to>
      <xdr:col>12</xdr:col>
      <xdr:colOff>214310</xdr:colOff>
      <xdr:row>38</xdr:row>
      <xdr:rowOff>11905</xdr:rowOff>
    </xdr:to>
    <xdr:graphicFrame macro="">
      <xdr:nvGraphicFramePr>
        <xdr:cNvPr id="4" name="Chart 3">
          <a:extLst>
            <a:ext uri="{FF2B5EF4-FFF2-40B4-BE49-F238E27FC236}">
              <a16:creationId xmlns:a16="http://schemas.microsoft.com/office/drawing/2014/main" id="{872809EB-D0B2-248C-91E5-158C4388E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113109</xdr:colOff>
      <xdr:row>39</xdr:row>
      <xdr:rowOff>158352</xdr:rowOff>
    </xdr:from>
    <xdr:to>
      <xdr:col>13</xdr:col>
      <xdr:colOff>178593</xdr:colOff>
      <xdr:row>54</xdr:row>
      <xdr:rowOff>44052</xdr:rowOff>
    </xdr:to>
    <xdr:graphicFrame macro="">
      <xdr:nvGraphicFramePr>
        <xdr:cNvPr id="5" name="Chart 4">
          <a:extLst>
            <a:ext uri="{FF2B5EF4-FFF2-40B4-BE49-F238E27FC236}">
              <a16:creationId xmlns:a16="http://schemas.microsoft.com/office/drawing/2014/main" id="{C1B0977D-113F-51D8-40FA-66739F0DF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541735</xdr:colOff>
      <xdr:row>58</xdr:row>
      <xdr:rowOff>98821</xdr:rowOff>
    </xdr:from>
    <xdr:to>
      <xdr:col>14</xdr:col>
      <xdr:colOff>202406</xdr:colOff>
      <xdr:row>72</xdr:row>
      <xdr:rowOff>175021</xdr:rowOff>
    </xdr:to>
    <xdr:graphicFrame macro="">
      <xdr:nvGraphicFramePr>
        <xdr:cNvPr id="6" name="Chart 5">
          <a:extLst>
            <a:ext uri="{FF2B5EF4-FFF2-40B4-BE49-F238E27FC236}">
              <a16:creationId xmlns:a16="http://schemas.microsoft.com/office/drawing/2014/main" id="{5AC4EFF6-58D7-E7A7-CEAF-E6B0E1862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196453</xdr:colOff>
      <xdr:row>74</xdr:row>
      <xdr:rowOff>27384</xdr:rowOff>
    </xdr:from>
    <xdr:to>
      <xdr:col>11</xdr:col>
      <xdr:colOff>279797</xdr:colOff>
      <xdr:row>88</xdr:row>
      <xdr:rowOff>103584</xdr:rowOff>
    </xdr:to>
    <xdr:graphicFrame macro="">
      <xdr:nvGraphicFramePr>
        <xdr:cNvPr id="7" name="Chart 6">
          <a:extLst>
            <a:ext uri="{FF2B5EF4-FFF2-40B4-BE49-F238E27FC236}">
              <a16:creationId xmlns:a16="http://schemas.microsoft.com/office/drawing/2014/main" id="{FABEA6C3-4FB8-E9A8-95BE-F54331A49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577452</xdr:colOff>
      <xdr:row>99</xdr:row>
      <xdr:rowOff>134540</xdr:rowOff>
    </xdr:from>
    <xdr:to>
      <xdr:col>11</xdr:col>
      <xdr:colOff>35717</xdr:colOff>
      <xdr:row>114</xdr:row>
      <xdr:rowOff>20240</xdr:rowOff>
    </xdr:to>
    <xdr:graphicFrame macro="">
      <xdr:nvGraphicFramePr>
        <xdr:cNvPr id="8" name="Chart 7">
          <a:extLst>
            <a:ext uri="{FF2B5EF4-FFF2-40B4-BE49-F238E27FC236}">
              <a16:creationId xmlns:a16="http://schemas.microsoft.com/office/drawing/2014/main" id="{1A66E2C1-0A40-D7BB-D31D-3D7CF107A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38100</xdr:colOff>
      <xdr:row>91</xdr:row>
      <xdr:rowOff>69056</xdr:rowOff>
    </xdr:from>
    <xdr:to>
      <xdr:col>14</xdr:col>
      <xdr:colOff>45244</xdr:colOff>
      <xdr:row>104</xdr:row>
      <xdr:rowOff>116681</xdr:rowOff>
    </xdr:to>
    <mc:AlternateContent xmlns:mc="http://schemas.openxmlformats.org/markup-compatibility/2006" xmlns:a14="http://schemas.microsoft.com/office/drawing/2010/main">
      <mc:Choice Requires="a14">
        <xdr:graphicFrame macro="">
          <xdr:nvGraphicFramePr>
            <xdr:cNvPr id="9" name="Gender 2">
              <a:extLst>
                <a:ext uri="{FF2B5EF4-FFF2-40B4-BE49-F238E27FC236}">
                  <a16:creationId xmlns:a16="http://schemas.microsoft.com/office/drawing/2014/main" id="{E65F2F30-3553-3B11-E496-2DC49885CDD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705975" y="1740455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61913</xdr:colOff>
      <xdr:row>91</xdr:row>
      <xdr:rowOff>69056</xdr:rowOff>
    </xdr:from>
    <xdr:to>
      <xdr:col>17</xdr:col>
      <xdr:colOff>69056</xdr:colOff>
      <xdr:row>104</xdr:row>
      <xdr:rowOff>116681</xdr:rowOff>
    </xdr:to>
    <mc:AlternateContent xmlns:mc="http://schemas.openxmlformats.org/markup-compatibility/2006" xmlns:a14="http://schemas.microsoft.com/office/drawing/2010/main">
      <mc:Choice Requires="a14">
        <xdr:graphicFrame macro="">
          <xdr:nvGraphicFramePr>
            <xdr:cNvPr id="10" name="Diagnosis 2">
              <a:extLst>
                <a:ext uri="{FF2B5EF4-FFF2-40B4-BE49-F238E27FC236}">
                  <a16:creationId xmlns:a16="http://schemas.microsoft.com/office/drawing/2014/main" id="{22F56E85-5F34-F8EC-4CA9-EFCAD2CC4ABD}"/>
                </a:ext>
              </a:extLst>
            </xdr:cNvPr>
            <xdr:cNvGraphicFramePr/>
          </xdr:nvGraphicFramePr>
          <xdr:xfrm>
            <a:off x="0" y="0"/>
            <a:ext cx="0" cy="0"/>
          </xdr:xfrm>
          <a:graphic>
            <a:graphicData uri="http://schemas.microsoft.com/office/drawing/2010/slicer">
              <sle:slicer xmlns:sle="http://schemas.microsoft.com/office/drawing/2010/slicer" name="Diagnosis 2"/>
            </a:graphicData>
          </a:graphic>
        </xdr:graphicFrame>
      </mc:Choice>
      <mc:Fallback xmlns="">
        <xdr:sp macro="" textlink="">
          <xdr:nvSpPr>
            <xdr:cNvPr id="0" name=""/>
            <xdr:cNvSpPr>
              <a:spLocks noTextEdit="1"/>
            </xdr:cNvSpPr>
          </xdr:nvSpPr>
          <xdr:spPr>
            <a:xfrm>
              <a:off x="11551444" y="1740455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286035</xdr:colOff>
      <xdr:row>58</xdr:row>
      <xdr:rowOff>54086</xdr:rowOff>
    </xdr:from>
    <xdr:to>
      <xdr:col>5</xdr:col>
      <xdr:colOff>403511</xdr:colOff>
      <xdr:row>64</xdr:row>
      <xdr:rowOff>143649</xdr:rowOff>
    </xdr:to>
    <xdr:sp macro="" textlink="">
      <xdr:nvSpPr>
        <xdr:cNvPr id="12" name="Rectangle: Rounded Corners 11">
          <a:extLst>
            <a:ext uri="{FF2B5EF4-FFF2-40B4-BE49-F238E27FC236}">
              <a16:creationId xmlns:a16="http://schemas.microsoft.com/office/drawing/2014/main" id="{78871797-6B27-483B-B82A-F8119AD8B4E4}"/>
            </a:ext>
          </a:extLst>
        </xdr:cNvPr>
        <xdr:cNvSpPr/>
      </xdr:nvSpPr>
      <xdr:spPr>
        <a:xfrm>
          <a:off x="2119953" y="10773265"/>
          <a:ext cx="1340088" cy="11984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157028</xdr:colOff>
      <xdr:row>58</xdr:row>
      <xdr:rowOff>180916</xdr:rowOff>
    </xdr:from>
    <xdr:to>
      <xdr:col>9</xdr:col>
      <xdr:colOff>280854</xdr:colOff>
      <xdr:row>65</xdr:row>
      <xdr:rowOff>91352</xdr:rowOff>
    </xdr:to>
    <xdr:sp macro="" textlink="">
      <xdr:nvSpPr>
        <xdr:cNvPr id="13" name="Rectangle: Rounded Corners 12">
          <a:extLst>
            <a:ext uri="{FF2B5EF4-FFF2-40B4-BE49-F238E27FC236}">
              <a16:creationId xmlns:a16="http://schemas.microsoft.com/office/drawing/2014/main" id="{B6F45428-03D7-466C-964A-49F8F4BED888}"/>
            </a:ext>
          </a:extLst>
        </xdr:cNvPr>
        <xdr:cNvSpPr/>
      </xdr:nvSpPr>
      <xdr:spPr>
        <a:xfrm>
          <a:off x="4436170" y="10900095"/>
          <a:ext cx="1346438" cy="12041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291306</xdr:colOff>
      <xdr:row>0</xdr:row>
      <xdr:rowOff>83343</xdr:rowOff>
    </xdr:from>
    <xdr:to>
      <xdr:col>28</xdr:col>
      <xdr:colOff>443923</xdr:colOff>
      <xdr:row>42</xdr:row>
      <xdr:rowOff>10821</xdr:rowOff>
    </xdr:to>
    <xdr:grpSp>
      <xdr:nvGrpSpPr>
        <xdr:cNvPr id="4" name="Group 3">
          <a:extLst>
            <a:ext uri="{FF2B5EF4-FFF2-40B4-BE49-F238E27FC236}">
              <a16:creationId xmlns:a16="http://schemas.microsoft.com/office/drawing/2014/main" id="{FCA9A96E-283E-02A4-2E0B-43E87BAC4D93}"/>
            </a:ext>
          </a:extLst>
        </xdr:cNvPr>
        <xdr:cNvGrpSpPr/>
      </xdr:nvGrpSpPr>
      <xdr:grpSpPr>
        <a:xfrm>
          <a:off x="1513918" y="83343"/>
          <a:ext cx="16046572" cy="7689642"/>
          <a:chOff x="92724" y="83343"/>
          <a:chExt cx="15912163" cy="7807251"/>
        </a:xfrm>
      </xdr:grpSpPr>
      <xdr:sp macro="" textlink="">
        <xdr:nvSpPr>
          <xdr:cNvPr id="20" name="Rectangle: Rounded Corners 19">
            <a:extLst>
              <a:ext uri="{FF2B5EF4-FFF2-40B4-BE49-F238E27FC236}">
                <a16:creationId xmlns:a16="http://schemas.microsoft.com/office/drawing/2014/main" id="{9EC6364A-0C4D-637A-12C8-3718DB20C4C3}"/>
              </a:ext>
            </a:extLst>
          </xdr:cNvPr>
          <xdr:cNvSpPr/>
        </xdr:nvSpPr>
        <xdr:spPr>
          <a:xfrm>
            <a:off x="107156" y="83343"/>
            <a:ext cx="15822986" cy="1652804"/>
          </a:xfrm>
          <a:prstGeom prst="roundRect">
            <a:avLst>
              <a:gd name="adj" fmla="val 13121"/>
            </a:avLst>
          </a:prstGeom>
          <a:solidFill>
            <a:srgbClr val="1E3A5F"/>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latin typeface="Segoe UI Semibold" panose="020B0702040204020203" pitchFamily="34" charset="0"/>
                <a:cs typeface="Segoe UI Semibold" panose="020B0702040204020203" pitchFamily="34" charset="0"/>
              </a:rPr>
              <a:t>HEALTHCARE PERFORMANCE DASHBOARD</a:t>
            </a:r>
          </a:p>
          <a:p>
            <a:pPr algn="l"/>
            <a:r>
              <a:rPr lang="en-US" sz="1300">
                <a:solidFill>
                  <a:schemeClr val="bg1"/>
                </a:solidFill>
                <a:latin typeface="Segoe UI" panose="020B0502040204020203" pitchFamily="34" charset="0"/>
                <a:cs typeface="Segoe UI" panose="020B0502040204020203" pitchFamily="34" charset="0"/>
              </a:rPr>
              <a:t>Patient visits, revenue trends and diagnosis insights</a:t>
            </a:r>
          </a:p>
        </xdr:txBody>
      </xdr:sp>
      <xdr:cxnSp macro="">
        <xdr:nvCxnSpPr>
          <xdr:cNvPr id="22" name="Straight Connector 21">
            <a:extLst>
              <a:ext uri="{FF2B5EF4-FFF2-40B4-BE49-F238E27FC236}">
                <a16:creationId xmlns:a16="http://schemas.microsoft.com/office/drawing/2014/main" id="{530920DF-C481-BCA1-7A03-6BFB0E9E9312}"/>
              </a:ext>
            </a:extLst>
          </xdr:cNvPr>
          <xdr:cNvCxnSpPr/>
        </xdr:nvCxnSpPr>
        <xdr:spPr>
          <a:xfrm flipV="1">
            <a:off x="92724" y="808182"/>
            <a:ext cx="15854435" cy="24717"/>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29" name="Rectangle: Rounded Corners 28">
            <a:extLst>
              <a:ext uri="{FF2B5EF4-FFF2-40B4-BE49-F238E27FC236}">
                <a16:creationId xmlns:a16="http://schemas.microsoft.com/office/drawing/2014/main" id="{58AFDD41-E525-46C0-824A-6B8FF72E3585}"/>
              </a:ext>
            </a:extLst>
          </xdr:cNvPr>
          <xdr:cNvSpPr/>
        </xdr:nvSpPr>
        <xdr:spPr>
          <a:xfrm>
            <a:off x="312088" y="1278082"/>
            <a:ext cx="2388825" cy="1218045"/>
          </a:xfrm>
          <a:prstGeom prst="roundRect">
            <a:avLst>
              <a:gd name="adj" fmla="val 10898"/>
            </a:avLst>
          </a:prstGeom>
          <a:solidFill>
            <a:schemeClr val="bg1"/>
          </a:soli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u="none"/>
              <a:t>₦ 1,042,718.91</a:t>
            </a:r>
          </a:p>
        </xdr:txBody>
      </xdr:sp>
      <xdr:sp macro="" textlink="">
        <xdr:nvSpPr>
          <xdr:cNvPr id="37" name="Rectangle: Rounded Corners 36">
            <a:extLst>
              <a:ext uri="{FF2B5EF4-FFF2-40B4-BE49-F238E27FC236}">
                <a16:creationId xmlns:a16="http://schemas.microsoft.com/office/drawing/2014/main" id="{5D71FB6F-7E22-4F70-B30B-BCFC43883329}"/>
              </a:ext>
            </a:extLst>
          </xdr:cNvPr>
          <xdr:cNvSpPr/>
        </xdr:nvSpPr>
        <xdr:spPr>
          <a:xfrm>
            <a:off x="7809632" y="1278082"/>
            <a:ext cx="2388826" cy="1218045"/>
          </a:xfrm>
          <a:prstGeom prst="roundRect">
            <a:avLst>
              <a:gd name="adj" fmla="val 10898"/>
            </a:avLst>
          </a:prstGeom>
          <a:solidFill>
            <a:schemeClr val="bg1"/>
          </a:soli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Rounded Corners 37">
            <a:extLst>
              <a:ext uri="{FF2B5EF4-FFF2-40B4-BE49-F238E27FC236}">
                <a16:creationId xmlns:a16="http://schemas.microsoft.com/office/drawing/2014/main" id="{D2E6B6F6-8B99-4BB7-86D1-A0FA3CF6BE05}"/>
              </a:ext>
            </a:extLst>
          </xdr:cNvPr>
          <xdr:cNvSpPr/>
        </xdr:nvSpPr>
        <xdr:spPr>
          <a:xfrm>
            <a:off x="2811269" y="1278082"/>
            <a:ext cx="2388826" cy="1218045"/>
          </a:xfrm>
          <a:prstGeom prst="roundRect">
            <a:avLst>
              <a:gd name="adj" fmla="val 10898"/>
            </a:avLst>
          </a:prstGeom>
          <a:solidFill>
            <a:schemeClr val="bg1"/>
          </a:soli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Rounded Corners 38">
            <a:extLst>
              <a:ext uri="{FF2B5EF4-FFF2-40B4-BE49-F238E27FC236}">
                <a16:creationId xmlns:a16="http://schemas.microsoft.com/office/drawing/2014/main" id="{973CAB24-B37C-4AC1-8971-2C6F9D81F159}"/>
              </a:ext>
            </a:extLst>
          </xdr:cNvPr>
          <xdr:cNvSpPr/>
        </xdr:nvSpPr>
        <xdr:spPr>
          <a:xfrm>
            <a:off x="5310451" y="1278082"/>
            <a:ext cx="2388825" cy="1218045"/>
          </a:xfrm>
          <a:prstGeom prst="roundRect">
            <a:avLst>
              <a:gd name="adj" fmla="val 10898"/>
            </a:avLst>
          </a:prstGeom>
          <a:solidFill>
            <a:schemeClr val="bg1"/>
          </a:soli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47" name="Straight Connector 46">
            <a:extLst>
              <a:ext uri="{FF2B5EF4-FFF2-40B4-BE49-F238E27FC236}">
                <a16:creationId xmlns:a16="http://schemas.microsoft.com/office/drawing/2014/main" id="{4DCFA352-7A8B-0EFB-7298-6B3A33F903B3}"/>
              </a:ext>
            </a:extLst>
          </xdr:cNvPr>
          <xdr:cNvCxnSpPr/>
        </xdr:nvCxnSpPr>
        <xdr:spPr>
          <a:xfrm>
            <a:off x="297657" y="1736148"/>
            <a:ext cx="10256691" cy="0"/>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55" name="TextBox 54">
            <a:extLst>
              <a:ext uri="{FF2B5EF4-FFF2-40B4-BE49-F238E27FC236}">
                <a16:creationId xmlns:a16="http://schemas.microsoft.com/office/drawing/2014/main" id="{89D728B3-BE9B-FB2E-0711-BCA8737C565C}"/>
              </a:ext>
            </a:extLst>
          </xdr:cNvPr>
          <xdr:cNvSpPr txBox="1"/>
        </xdr:nvSpPr>
        <xdr:spPr>
          <a:xfrm>
            <a:off x="583407" y="1349013"/>
            <a:ext cx="1699346" cy="351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rgbClr val="1E3A5F"/>
                </a:solidFill>
                <a:latin typeface="Segoe UI" panose="020B0502040204020203" pitchFamily="34" charset="0"/>
                <a:cs typeface="Segoe UI" panose="020B0502040204020203" pitchFamily="34" charset="0"/>
              </a:rPr>
              <a:t>Total Revenue</a:t>
            </a:r>
          </a:p>
        </xdr:txBody>
      </xdr:sp>
      <xdr:sp macro="" textlink="">
        <xdr:nvSpPr>
          <xdr:cNvPr id="56" name="TextBox 55">
            <a:extLst>
              <a:ext uri="{FF2B5EF4-FFF2-40B4-BE49-F238E27FC236}">
                <a16:creationId xmlns:a16="http://schemas.microsoft.com/office/drawing/2014/main" id="{07730A24-0FAA-4606-8089-AF286BDE014F}"/>
              </a:ext>
            </a:extLst>
          </xdr:cNvPr>
          <xdr:cNvSpPr txBox="1"/>
        </xdr:nvSpPr>
        <xdr:spPr>
          <a:xfrm>
            <a:off x="3135459" y="1358537"/>
            <a:ext cx="1700429" cy="351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rgbClr val="1E3A5F"/>
                </a:solidFill>
                <a:latin typeface="Segoe UI" panose="020B0502040204020203" pitchFamily="34" charset="0"/>
                <a:cs typeface="Segoe UI" panose="020B0502040204020203" pitchFamily="34" charset="0"/>
              </a:rPr>
              <a:t>Total</a:t>
            </a:r>
            <a:r>
              <a:rPr lang="en-US" sz="1400" b="0" baseline="0">
                <a:solidFill>
                  <a:srgbClr val="1E3A5F"/>
                </a:solidFill>
                <a:latin typeface="Segoe UI" panose="020B0502040204020203" pitchFamily="34" charset="0"/>
                <a:cs typeface="Segoe UI" panose="020B0502040204020203" pitchFamily="34" charset="0"/>
              </a:rPr>
              <a:t> Patient Visits</a:t>
            </a:r>
            <a:endParaRPr lang="en-US" sz="1400" b="0">
              <a:solidFill>
                <a:srgbClr val="1E3A5F"/>
              </a:solidFill>
              <a:latin typeface="Segoe UI" panose="020B0502040204020203" pitchFamily="34" charset="0"/>
              <a:cs typeface="Segoe UI" panose="020B0502040204020203" pitchFamily="34" charset="0"/>
            </a:endParaRPr>
          </a:p>
        </xdr:txBody>
      </xdr:sp>
      <xdr:sp macro="" textlink="">
        <xdr:nvSpPr>
          <xdr:cNvPr id="57" name="TextBox 56">
            <a:extLst>
              <a:ext uri="{FF2B5EF4-FFF2-40B4-BE49-F238E27FC236}">
                <a16:creationId xmlns:a16="http://schemas.microsoft.com/office/drawing/2014/main" id="{C74AC271-BB5D-4D17-BEF8-1CDD232933B6}"/>
              </a:ext>
            </a:extLst>
          </xdr:cNvPr>
          <xdr:cNvSpPr txBox="1"/>
        </xdr:nvSpPr>
        <xdr:spPr>
          <a:xfrm>
            <a:off x="7927397" y="1368063"/>
            <a:ext cx="1885085" cy="351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rgbClr val="1E3A5F"/>
                </a:solidFill>
                <a:latin typeface="Segoe UI" panose="020B0502040204020203" pitchFamily="34" charset="0"/>
                <a:cs typeface="Segoe UI" panose="020B0502040204020203" pitchFamily="34" charset="0"/>
              </a:rPr>
              <a:t>Female %</a:t>
            </a:r>
            <a:r>
              <a:rPr lang="en-US" sz="1400" b="0" baseline="0">
                <a:solidFill>
                  <a:srgbClr val="1E3A5F"/>
                </a:solidFill>
                <a:latin typeface="Segoe UI" panose="020B0502040204020203" pitchFamily="34" charset="0"/>
                <a:cs typeface="Segoe UI" panose="020B0502040204020203" pitchFamily="34" charset="0"/>
              </a:rPr>
              <a:t> of Revenue</a:t>
            </a:r>
          </a:p>
          <a:p>
            <a:pPr algn="ctr"/>
            <a:endParaRPr lang="en-US" sz="1400" b="1">
              <a:solidFill>
                <a:srgbClr val="1E3A5F"/>
              </a:solidFill>
              <a:latin typeface="Segoe UI" panose="020B0502040204020203" pitchFamily="34" charset="0"/>
              <a:cs typeface="Segoe UI" panose="020B0502040204020203" pitchFamily="34" charset="0"/>
            </a:endParaRPr>
          </a:p>
        </xdr:txBody>
      </xdr:sp>
      <xdr:sp macro="" textlink="">
        <xdr:nvSpPr>
          <xdr:cNvPr id="58" name="TextBox 57">
            <a:extLst>
              <a:ext uri="{FF2B5EF4-FFF2-40B4-BE49-F238E27FC236}">
                <a16:creationId xmlns:a16="http://schemas.microsoft.com/office/drawing/2014/main" id="{03D1480A-1047-44FF-AD02-0B8CD2C6ABB4}"/>
              </a:ext>
            </a:extLst>
          </xdr:cNvPr>
          <xdr:cNvSpPr txBox="1"/>
        </xdr:nvSpPr>
        <xdr:spPr>
          <a:xfrm>
            <a:off x="5602865" y="1377587"/>
            <a:ext cx="1699346" cy="351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rgbClr val="1E3A5F"/>
                </a:solidFill>
                <a:latin typeface="Segoe UI" panose="020B0502040204020203" pitchFamily="34" charset="0"/>
                <a:cs typeface="Segoe UI" panose="020B0502040204020203" pitchFamily="34" charset="0"/>
              </a:rPr>
              <a:t>Male</a:t>
            </a:r>
            <a:r>
              <a:rPr lang="en-US" sz="1400" b="0" baseline="0">
                <a:solidFill>
                  <a:srgbClr val="1E3A5F"/>
                </a:solidFill>
                <a:latin typeface="Segoe UI" panose="020B0502040204020203" pitchFamily="34" charset="0"/>
                <a:cs typeface="Segoe UI" panose="020B0502040204020203" pitchFamily="34" charset="0"/>
              </a:rPr>
              <a:t> % of Revenue</a:t>
            </a:r>
          </a:p>
          <a:p>
            <a:pPr algn="ctr"/>
            <a:endParaRPr lang="en-US" sz="1400" b="1">
              <a:solidFill>
                <a:srgbClr val="1E3A5F"/>
              </a:solidFill>
              <a:latin typeface="Segoe UI" panose="020B0502040204020203" pitchFamily="34" charset="0"/>
              <a:cs typeface="Segoe UI" panose="020B0502040204020203" pitchFamily="34" charset="0"/>
            </a:endParaRPr>
          </a:p>
        </xdr:txBody>
      </xdr:sp>
      <xdr:sp macro="" textlink="Pivot_Table!A4">
        <xdr:nvSpPr>
          <xdr:cNvPr id="59" name="TextBox 58">
            <a:extLst>
              <a:ext uri="{FF2B5EF4-FFF2-40B4-BE49-F238E27FC236}">
                <a16:creationId xmlns:a16="http://schemas.microsoft.com/office/drawing/2014/main" id="{9721BF06-571D-F443-3067-751D01AD2BF2}"/>
              </a:ext>
            </a:extLst>
          </xdr:cNvPr>
          <xdr:cNvSpPr txBox="1"/>
        </xdr:nvSpPr>
        <xdr:spPr>
          <a:xfrm>
            <a:off x="526383" y="1594907"/>
            <a:ext cx="1896739" cy="866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E3BEBD-82C8-4415-83F5-E56820C327A3}" type="TxLink">
              <a:rPr lang="en-US" sz="2100" b="1" i="0" u="none" strike="noStrike">
                <a:solidFill>
                  <a:srgbClr val="1F497D"/>
                </a:solidFill>
                <a:latin typeface="Calibri"/>
                <a:cs typeface="Calibri"/>
              </a:rPr>
              <a:pPr algn="ctr"/>
              <a:t>₦1.0M</a:t>
            </a:fld>
            <a:endParaRPr lang="en-US" sz="2100" b="1">
              <a:solidFill>
                <a:srgbClr val="1F497D"/>
              </a:solidFill>
            </a:endParaRPr>
          </a:p>
        </xdr:txBody>
      </xdr:sp>
      <xdr:sp macro="" textlink="Pivot_Table!A8">
        <xdr:nvSpPr>
          <xdr:cNvPr id="60" name="TextBox 59">
            <a:extLst>
              <a:ext uri="{FF2B5EF4-FFF2-40B4-BE49-F238E27FC236}">
                <a16:creationId xmlns:a16="http://schemas.microsoft.com/office/drawing/2014/main" id="{634FA7CD-42C1-4B5A-B455-CD3CD2C25C5A}"/>
              </a:ext>
            </a:extLst>
          </xdr:cNvPr>
          <xdr:cNvSpPr txBox="1"/>
        </xdr:nvSpPr>
        <xdr:spPr>
          <a:xfrm>
            <a:off x="2957944" y="1593779"/>
            <a:ext cx="1889848" cy="866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75DC1B-0BA6-4C67-A231-A21C113BB268}" type="TxLink">
              <a:rPr lang="en-US" sz="2100" b="1" i="0" u="none" strike="noStrike">
                <a:solidFill>
                  <a:srgbClr val="1F497D"/>
                </a:solidFill>
                <a:latin typeface="Calibri"/>
                <a:cs typeface="Calibri"/>
              </a:rPr>
              <a:pPr algn="ctr"/>
              <a:t>100</a:t>
            </a:fld>
            <a:endParaRPr lang="en-US" sz="2100" b="1" i="0" u="none" strike="noStrike">
              <a:solidFill>
                <a:srgbClr val="1F497D"/>
              </a:solidFill>
              <a:latin typeface="Calibri"/>
              <a:cs typeface="Calibri"/>
            </a:endParaRPr>
          </a:p>
        </xdr:txBody>
      </xdr:sp>
      <xdr:sp macro="" textlink="Pivot_Table!B13">
        <xdr:nvSpPr>
          <xdr:cNvPr id="61" name="TextBox 60">
            <a:extLst>
              <a:ext uri="{FF2B5EF4-FFF2-40B4-BE49-F238E27FC236}">
                <a16:creationId xmlns:a16="http://schemas.microsoft.com/office/drawing/2014/main" id="{2FD5017E-9A93-41A8-95FC-3C6001FCA5C7}"/>
              </a:ext>
            </a:extLst>
          </xdr:cNvPr>
          <xdr:cNvSpPr txBox="1"/>
        </xdr:nvSpPr>
        <xdr:spPr>
          <a:xfrm>
            <a:off x="5498086" y="1591398"/>
            <a:ext cx="1889847" cy="866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EE6EF0-88B9-416F-8146-E8D1C203D72C}" type="TxLink">
              <a:rPr lang="en-US" sz="2100" b="1" i="0" u="none" strike="noStrike">
                <a:solidFill>
                  <a:srgbClr val="1F497D"/>
                </a:solidFill>
                <a:latin typeface="Calibri"/>
                <a:cs typeface="Calibri"/>
              </a:rPr>
              <a:pPr algn="ctr"/>
              <a:t>48.92%</a:t>
            </a:fld>
            <a:endParaRPr lang="en-US" sz="2100" b="1" i="0" u="none" strike="noStrike">
              <a:solidFill>
                <a:srgbClr val="1F497D"/>
              </a:solidFill>
              <a:latin typeface="Calibri"/>
              <a:cs typeface="Calibri"/>
            </a:endParaRPr>
          </a:p>
        </xdr:txBody>
      </xdr:sp>
      <xdr:sp macro="" textlink="Pivot_Table!B12">
        <xdr:nvSpPr>
          <xdr:cNvPr id="62" name="TextBox 61">
            <a:extLst>
              <a:ext uri="{FF2B5EF4-FFF2-40B4-BE49-F238E27FC236}">
                <a16:creationId xmlns:a16="http://schemas.microsoft.com/office/drawing/2014/main" id="{07CFD5A3-77F4-4B4D-B6E8-FF184C7C7CAA}"/>
              </a:ext>
            </a:extLst>
          </xdr:cNvPr>
          <xdr:cNvSpPr txBox="1"/>
        </xdr:nvSpPr>
        <xdr:spPr>
          <a:xfrm>
            <a:off x="8039312" y="1612830"/>
            <a:ext cx="1889847" cy="866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2B3E53-9B4C-42D1-BDDA-CA3069767BC2}" type="TxLink">
              <a:rPr lang="en-US" sz="2100" b="1" i="0" u="none" strike="noStrike">
                <a:solidFill>
                  <a:srgbClr val="1F497D"/>
                </a:solidFill>
                <a:latin typeface="Calibri"/>
                <a:cs typeface="Calibri"/>
              </a:rPr>
              <a:pPr algn="ctr"/>
              <a:t>51.08%</a:t>
            </a:fld>
            <a:endParaRPr lang="en-US" sz="2100" b="1" i="0" u="none" strike="noStrike">
              <a:solidFill>
                <a:srgbClr val="1F497D"/>
              </a:solidFill>
              <a:latin typeface="Calibri"/>
              <a:cs typeface="Calibri"/>
            </a:endParaRPr>
          </a:p>
        </xdr:txBody>
      </xdr:sp>
      <xdr:sp macro="" textlink="">
        <xdr:nvSpPr>
          <xdr:cNvPr id="21" name="Rectangle: Rounded Corners 20">
            <a:extLst>
              <a:ext uri="{FF2B5EF4-FFF2-40B4-BE49-F238E27FC236}">
                <a16:creationId xmlns:a16="http://schemas.microsoft.com/office/drawing/2014/main" id="{E0A4AFE5-2419-4254-A807-E8F9257914CD}"/>
              </a:ext>
            </a:extLst>
          </xdr:cNvPr>
          <xdr:cNvSpPr/>
        </xdr:nvSpPr>
        <xdr:spPr>
          <a:xfrm>
            <a:off x="10252837" y="1702741"/>
            <a:ext cx="5705954" cy="793103"/>
          </a:xfrm>
          <a:prstGeom prst="roundRect">
            <a:avLst>
              <a:gd name="adj" fmla="val 19968"/>
            </a:avLst>
          </a:prstGeom>
          <a:solidFill>
            <a:schemeClr val="bg1"/>
          </a:solidFill>
          <a:ln>
            <a:solidFill>
              <a:schemeClr val="accent6">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a:solidFill>
                  <a:srgbClr val="1F497D"/>
                </a:solidFill>
                <a:latin typeface="Segoe UI Semibold" panose="020B0702040204020203" pitchFamily="34" charset="0"/>
                <a:cs typeface="Segoe UI Semibold" panose="020B0702040204020203" pitchFamily="34" charset="0"/>
              </a:rPr>
              <a:t>Data Note: Some billing values are missing from revenue totals.</a:t>
            </a:r>
            <a:r>
              <a:rPr lang="en-US" sz="1100" b="1" i="0" u="none" baseline="0">
                <a:solidFill>
                  <a:srgbClr val="1F497D"/>
                </a:solidFill>
                <a:latin typeface="Segoe UI Semibold" panose="020B0702040204020203" pitchFamily="34" charset="0"/>
                <a:cs typeface="Segoe UI Semibold" panose="020B0702040204020203" pitchFamily="34" charset="0"/>
              </a:rPr>
              <a:t> </a:t>
            </a:r>
            <a:r>
              <a:rPr lang="en-US" sz="1100" b="1" i="0" u="none">
                <a:solidFill>
                  <a:srgbClr val="1F497D"/>
                </a:solidFill>
                <a:latin typeface="Segoe UI Semibold" panose="020B0702040204020203" pitchFamily="34" charset="0"/>
                <a:cs typeface="Segoe UI Semibold" panose="020B0702040204020203" pitchFamily="34" charset="0"/>
              </a:rPr>
              <a:t>This may understate results. See data quality chart and Billing_flag column to</a:t>
            </a:r>
            <a:r>
              <a:rPr lang="en-US" sz="1100" b="1" i="0" u="none" baseline="0">
                <a:solidFill>
                  <a:srgbClr val="1F497D"/>
                </a:solidFill>
                <a:latin typeface="Segoe UI Semibold" panose="020B0702040204020203" pitchFamily="34" charset="0"/>
                <a:cs typeface="Segoe UI Semibold" panose="020B0702040204020203" pitchFamily="34" charset="0"/>
              </a:rPr>
              <a:t> identify and update missing entries.</a:t>
            </a:r>
            <a:endParaRPr lang="en-US" sz="1100" b="1" i="0" u="none">
              <a:solidFill>
                <a:srgbClr val="1F497D"/>
              </a:solidFill>
              <a:latin typeface="Segoe UI Semibold" panose="020B0702040204020203" pitchFamily="34" charset="0"/>
              <a:cs typeface="Segoe UI Semibold" panose="020B0702040204020203" pitchFamily="34" charset="0"/>
            </a:endParaRPr>
          </a:p>
        </xdr:txBody>
      </xdr:sp>
      <xdr:graphicFrame macro="">
        <xdr:nvGraphicFramePr>
          <xdr:cNvPr id="2" name="Chart 1">
            <a:extLst>
              <a:ext uri="{FF2B5EF4-FFF2-40B4-BE49-F238E27FC236}">
                <a16:creationId xmlns:a16="http://schemas.microsoft.com/office/drawing/2014/main" id="{EC2BDBAE-0B46-46C9-B911-2962A737F918}"/>
              </a:ext>
            </a:extLst>
          </xdr:cNvPr>
          <xdr:cNvGraphicFramePr>
            <a:graphicFrameLocks/>
          </xdr:cNvGraphicFramePr>
        </xdr:nvGraphicFramePr>
        <xdr:xfrm>
          <a:off x="119784" y="2554426"/>
          <a:ext cx="6894080" cy="257997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2BE94B46-D9BD-4897-A5E9-281BEA23D1B1}"/>
              </a:ext>
            </a:extLst>
          </xdr:cNvPr>
          <xdr:cNvGraphicFramePr>
            <a:graphicFrameLocks/>
          </xdr:cNvGraphicFramePr>
        </xdr:nvGraphicFramePr>
        <xdr:xfrm>
          <a:off x="11574319" y="2554426"/>
          <a:ext cx="4412376" cy="259689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AB9943B1-3AF7-4EEF-BB19-7DAC18A153EC}"/>
              </a:ext>
            </a:extLst>
          </xdr:cNvPr>
          <xdr:cNvGraphicFramePr>
            <a:graphicFrameLocks/>
          </xdr:cNvGraphicFramePr>
        </xdr:nvGraphicFramePr>
        <xdr:xfrm>
          <a:off x="94166" y="5177412"/>
          <a:ext cx="6934130" cy="270662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 name="Chart 10">
            <a:extLst>
              <a:ext uri="{FF2B5EF4-FFF2-40B4-BE49-F238E27FC236}">
                <a16:creationId xmlns:a16="http://schemas.microsoft.com/office/drawing/2014/main" id="{E643143D-9D61-434E-A028-BE23C7136BDA}"/>
              </a:ext>
            </a:extLst>
          </xdr:cNvPr>
          <xdr:cNvGraphicFramePr>
            <a:graphicFrameLocks/>
          </xdr:cNvGraphicFramePr>
        </xdr:nvGraphicFramePr>
        <xdr:xfrm>
          <a:off x="11578648" y="5177412"/>
          <a:ext cx="4426239" cy="268431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a:extLst>
              <a:ext uri="{FF2B5EF4-FFF2-40B4-BE49-F238E27FC236}">
                <a16:creationId xmlns:a16="http://schemas.microsoft.com/office/drawing/2014/main" id="{C62A8669-3A00-4451-B8EB-917ED43E1AB3}"/>
              </a:ext>
            </a:extLst>
          </xdr:cNvPr>
          <xdr:cNvGraphicFramePr>
            <a:graphicFrameLocks/>
          </xdr:cNvGraphicFramePr>
        </xdr:nvGraphicFramePr>
        <xdr:xfrm>
          <a:off x="7066540" y="5177412"/>
          <a:ext cx="4473865" cy="2713182"/>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15" name="Gender 3">
                <a:extLst>
                  <a:ext uri="{FF2B5EF4-FFF2-40B4-BE49-F238E27FC236}">
                    <a16:creationId xmlns:a16="http://schemas.microsoft.com/office/drawing/2014/main" id="{07C41E85-9975-4293-8A1C-BE4EAF2D8806}"/>
                  </a:ext>
                </a:extLst>
              </xdr:cNvPr>
              <xdr:cNvGraphicFramePr/>
            </xdr:nvGraphicFramePr>
            <xdr:xfrm>
              <a:off x="10285596" y="850938"/>
              <a:ext cx="1901952" cy="813816"/>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1792889" y="839375"/>
                <a:ext cx="1918018" cy="8015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Diagnosis 3">
                <a:extLst>
                  <a:ext uri="{FF2B5EF4-FFF2-40B4-BE49-F238E27FC236}">
                    <a16:creationId xmlns:a16="http://schemas.microsoft.com/office/drawing/2014/main" id="{455708AB-4AB0-48ED-9732-B79E0F79635E}"/>
                  </a:ext>
                </a:extLst>
              </xdr:cNvPr>
              <xdr:cNvGraphicFramePr/>
            </xdr:nvGraphicFramePr>
            <xdr:xfrm>
              <a:off x="12232085" y="850939"/>
              <a:ext cx="3483864" cy="813816"/>
            </xdr:xfrm>
            <a:graphic>
              <a:graphicData uri="http://schemas.microsoft.com/office/drawing/2010/slicer">
                <sle:slicer xmlns:sle="http://schemas.microsoft.com/office/drawing/2010/slicer" name="Diagnosis 3"/>
              </a:graphicData>
            </a:graphic>
          </xdr:graphicFrame>
        </mc:Choice>
        <mc:Fallback>
          <xdr:sp macro="" textlink="">
            <xdr:nvSpPr>
              <xdr:cNvPr id="0" name=""/>
              <xdr:cNvSpPr>
                <a:spLocks noTextEdit="1"/>
              </xdr:cNvSpPr>
            </xdr:nvSpPr>
            <xdr:spPr>
              <a:xfrm>
                <a:off x="13755819" y="839376"/>
                <a:ext cx="3513292" cy="8015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5" name="Chart 24">
            <a:extLst>
              <a:ext uri="{FF2B5EF4-FFF2-40B4-BE49-F238E27FC236}">
                <a16:creationId xmlns:a16="http://schemas.microsoft.com/office/drawing/2014/main" id="{08A00492-F652-4B43-9513-5D1D731EA781}"/>
              </a:ext>
            </a:extLst>
          </xdr:cNvPr>
          <xdr:cNvGraphicFramePr>
            <a:graphicFrameLocks/>
          </xdr:cNvGraphicFramePr>
        </xdr:nvGraphicFramePr>
        <xdr:xfrm>
          <a:off x="7057159" y="2554426"/>
          <a:ext cx="4473864" cy="258775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25</xdr:col>
      <xdr:colOff>597090</xdr:colOff>
      <xdr:row>2</xdr:row>
      <xdr:rowOff>127948</xdr:rowOff>
    </xdr:from>
    <xdr:to>
      <xdr:col>28</xdr:col>
      <xdr:colOff>341194</xdr:colOff>
      <xdr:row>4</xdr:row>
      <xdr:rowOff>42650</xdr:rowOff>
    </xdr:to>
    <xdr:sp macro="" textlink="">
      <xdr:nvSpPr>
        <xdr:cNvPr id="6" name="TextBox 5">
          <a:extLst>
            <a:ext uri="{FF2B5EF4-FFF2-40B4-BE49-F238E27FC236}">
              <a16:creationId xmlns:a16="http://schemas.microsoft.com/office/drawing/2014/main" id="{B0563424-9C52-DAAC-0F07-89C871E56EC8}"/>
            </a:ext>
          </a:extLst>
        </xdr:cNvPr>
        <xdr:cNvSpPr txBox="1"/>
      </xdr:nvSpPr>
      <xdr:spPr>
        <a:xfrm>
          <a:off x="15879739" y="497575"/>
          <a:ext cx="1578022" cy="284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Comic Sans MS" panose="030F0702030302020204" pitchFamily="66" charset="0"/>
            </a:rPr>
            <a:t>Princewill_Data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7.719076967594" createdVersion="8" refreshedVersion="8" minRefreshableVersion="3" recordCount="100" xr:uid="{80DD2218-F4A0-457E-AFA9-27A9D04829FD}">
  <cacheSource type="worksheet">
    <worksheetSource name="Table1"/>
  </cacheSource>
  <cacheFields count="16">
    <cacheField name="Patient_id" numFmtId="0">
      <sharedItems/>
    </cacheField>
    <cacheField name="Row_id" numFmtId="0">
      <sharedItems containsSemiMixedTypes="0" containsString="0" containsNumber="1" containsInteger="1" minValue="1" maxValue="100"/>
    </cacheField>
    <cacheField name="Age " numFmtId="0">
      <sharedItems containsString="0" containsBlank="1" containsNumber="1" containsInteger="1" minValue="1" maxValue="78"/>
    </cacheField>
    <cacheField name="Age_group" numFmtId="0">
      <sharedItems count="4">
        <s v="36-55"/>
        <s v="0-18"/>
        <s v="56+"/>
        <s v="19-35"/>
      </sharedItems>
    </cacheField>
    <cacheField name="Age_issue_flag" numFmtId="0">
      <sharedItems/>
    </cacheField>
    <cacheField name="Gender" numFmtId="0">
      <sharedItems count="2">
        <s v="Male"/>
        <s v="Female"/>
      </sharedItems>
    </cacheField>
    <cacheField name="Diagnosis" numFmtId="0">
      <sharedItems count="6">
        <s v="Malaria"/>
        <s v="Diabetes"/>
        <s v="Hypertension"/>
        <s v="Typhoid"/>
        <s v="Asthma"/>
        <s v="Unknown"/>
      </sharedItems>
    </cacheField>
    <cacheField name="Admission_date" numFmtId="164">
      <sharedItems containsSemiMixedTypes="0" containsNonDate="0" containsDate="1" containsString="0" minDate="2023-01-12T00:00:00" maxDate="2023-12-27T00:00:00" count="79">
        <d v="2023-03-15T00:00:00"/>
        <d v="2023-03-31T00:00:00"/>
        <d v="2023-10-07T00:00:00"/>
        <d v="2023-10-23T00:00:00"/>
        <d v="2023-10-25T00:00:00"/>
        <d v="2023-01-22T00:00:00"/>
        <d v="2023-07-16T00:00:00"/>
        <d v="2023-01-15T00:00:00"/>
        <d v="2023-12-03T00:00:00"/>
        <d v="2023-12-04T00:00:00"/>
        <d v="2023-10-17T00:00:00"/>
        <d v="2023-01-12T00:00:00"/>
        <d v="2023-11-30T00:00:00"/>
        <d v="2023-08-16T00:00:00"/>
        <d v="2023-03-14T00:00:00"/>
        <d v="2023-08-26T00:00:00"/>
        <d v="2023-03-23T00:00:00"/>
        <d v="2023-07-18T00:00:00"/>
        <d v="2023-07-17T00:00:00"/>
        <d v="2023-04-19T00:00:00"/>
        <d v="2023-05-27T00:00:00"/>
        <d v="2023-07-31T00:00:00"/>
        <d v="2023-01-16T00:00:00"/>
        <d v="2023-01-28T00:00:00"/>
        <d v="2023-08-11T00:00:00"/>
        <d v="2023-05-28T00:00:00"/>
        <d v="2023-11-15T00:00:00"/>
        <d v="2023-08-03T00:00:00"/>
        <d v="2023-06-14T00:00:00"/>
        <d v="2023-07-22T00:00:00"/>
        <d v="2023-04-02T00:00:00"/>
        <d v="2023-10-16T00:00:00"/>
        <d v="2023-09-30T00:00:00"/>
        <d v="2023-07-10T00:00:00"/>
        <d v="2023-04-26T00:00:00"/>
        <d v="2023-12-26T00:00:00"/>
        <d v="2023-12-17T00:00:00"/>
        <d v="2023-06-01T00:00:00"/>
        <d v="2023-05-22T00:00:00"/>
        <d v="2023-03-22T00:00:00"/>
        <d v="2023-01-29T00:00:00"/>
        <d v="2023-11-21T00:00:00"/>
        <d v="2023-12-19T00:00:00"/>
        <d v="2023-06-20T00:00:00"/>
        <d v="2023-02-14T00:00:00"/>
        <d v="2023-10-26T00:00:00"/>
        <d v="2023-02-01T00:00:00"/>
        <d v="2023-10-31T00:00:00"/>
        <d v="2023-07-01T00:00:00"/>
        <d v="2023-02-28T00:00:00"/>
        <d v="2023-01-25T00:00:00"/>
        <d v="2023-01-17T00:00:00"/>
        <d v="2023-07-26T00:00:00"/>
        <d v="2023-09-02T00:00:00"/>
        <d v="2023-03-10T00:00:00"/>
        <d v="2023-03-18T00:00:00"/>
        <d v="2023-10-29T00:00:00"/>
        <d v="2023-06-08T00:00:00"/>
        <d v="2023-09-20T00:00:00"/>
        <d v="2023-02-13T00:00:00"/>
        <d v="2023-05-13T00:00:00"/>
        <d v="2023-02-24T00:00:00"/>
        <d v="2023-10-24T00:00:00"/>
        <d v="2023-08-20T00:00:00"/>
        <d v="2023-09-16T00:00:00"/>
        <d v="2023-07-20T00:00:00"/>
        <d v="2023-01-30T00:00:00"/>
        <d v="2023-02-22T00:00:00"/>
        <d v="2023-04-11T00:00:00"/>
        <d v="2023-05-04T00:00:00"/>
        <d v="2023-09-09T00:00:00"/>
        <d v="2023-04-05T00:00:00"/>
        <d v="2023-10-11T00:00:00"/>
        <d v="2023-04-10T00:00:00"/>
        <d v="2023-03-26T00:00:00"/>
        <d v="2023-02-06T00:00:00"/>
        <d v="2023-08-31T00:00:00"/>
        <d v="2023-11-14T00:00:00"/>
        <d v="2023-04-09T00:00:00"/>
      </sharedItems>
      <fieldGroup par="12"/>
    </cacheField>
    <cacheField name=" Discharge_date" numFmtId="164">
      <sharedItems containsSemiMixedTypes="0" containsNonDate="0" containsDate="1" containsString="0" minDate="2023-01-18T00:00:00" maxDate="2024-01-05T00:00:00" count="88">
        <d v="2023-03-18T00:00:00"/>
        <d v="2023-04-08T00:00:00"/>
        <d v="2023-10-15T00:00:00"/>
        <d v="2023-11-02T00:00:00"/>
        <d v="2023-11-03T00:00:00"/>
        <d v="2023-01-27T00:00:00"/>
        <d v="2023-07-17T00:00:00"/>
        <d v="2023-01-18T00:00:00"/>
        <d v="2023-12-08T00:00:00"/>
        <d v="2023-12-10T00:00:00"/>
        <d v="2023-10-27T00:00:00"/>
        <d v="2023-01-20T00:00:00"/>
        <d v="2023-10-29T00:00:00"/>
        <d v="2023-12-01T00:00:00"/>
        <d v="2023-08-20T00:00:00"/>
        <d v="2023-03-23T00:00:00"/>
        <d v="2023-09-05T00:00:00"/>
        <d v="2023-03-30T00:00:00"/>
        <d v="2023-07-27T00:00:00"/>
        <d v="2023-07-24T00:00:00"/>
        <d v="2023-04-24T00:00:00"/>
        <d v="2023-06-01T00:00:00"/>
        <d v="2023-08-03T00:00:00"/>
        <d v="2023-01-19T00:00:00"/>
        <d v="2023-02-04T00:00:00"/>
        <d v="2023-07-23T00:00:00"/>
        <d v="2023-08-19T00:00:00"/>
        <d v="2023-06-06T00:00:00"/>
        <d v="2023-10-22T00:00:00"/>
        <d v="2023-11-19T00:00:00"/>
        <d v="2023-08-09T00:00:00"/>
        <d v="2023-06-19T00:00:00"/>
        <d v="2023-04-04T00:00:00"/>
        <d v="2023-03-31T00:00:00"/>
        <d v="2023-10-18T00:00:00"/>
        <d v="2023-10-10T00:00:00"/>
        <d v="2023-07-14T00:00:00"/>
        <d v="2023-04-28T00:00:00"/>
        <d v="2024-01-04T00:00:00"/>
        <d v="2023-12-22T00:00:00"/>
        <d v="2023-06-09T00:00:00"/>
        <d v="2023-05-26T00:00:00"/>
        <d v="2023-02-05T00:00:00"/>
        <d v="2023-11-28T00:00:00"/>
        <d v="2023-12-23T00:00:00"/>
        <d v="2023-06-22T00:00:00"/>
        <d v="2023-02-19T00:00:00"/>
        <d v="2023-11-04T00:00:00"/>
        <d v="2023-02-07T00:00:00"/>
        <d v="2023-07-05T00:00:00"/>
        <d v="2023-08-15T00:00:00"/>
        <d v="2023-03-01T00:00:00"/>
        <d v="2023-01-26T00:00:00"/>
        <d v="2023-08-04T00:00:00"/>
        <d v="2023-03-19T00:00:00"/>
        <d v="2023-03-28T00:00:00"/>
        <d v="2023-10-17T00:00:00"/>
        <d v="2023-11-07T00:00:00"/>
        <d v="2023-06-18T00:00:00"/>
        <d v="2023-09-22T00:00:00"/>
        <d v="2023-02-14T00:00:00"/>
        <d v="2023-05-15T00:00:00"/>
        <d v="2023-03-02T00:00:00"/>
        <d v="2023-10-30T00:00:00"/>
        <d v="2023-08-22T00:00:00"/>
        <d v="2023-03-20T00:00:00"/>
        <d v="2023-07-29T00:00:00"/>
        <d v="2023-02-09T00:00:00"/>
        <d v="2023-02-26T00:00:00"/>
        <d v="2023-07-15T00:00:00"/>
        <d v="2023-04-18T00:00:00"/>
        <d v="2023-09-04T00:00:00"/>
        <d v="2023-05-14T00:00:00"/>
        <d v="2023-03-26T00:00:00"/>
        <d v="2023-09-11T00:00:00"/>
        <d v="2023-04-06T00:00:00"/>
        <d v="2023-07-10T00:00:00"/>
        <d v="2023-10-16T00:00:00"/>
        <d v="2023-04-12T00:00:00"/>
        <d v="2023-01-31T00:00:00"/>
        <d v="2023-08-30T00:00:00"/>
        <d v="2023-02-21T00:00:00"/>
        <d v="2023-04-13T00:00:00"/>
        <d v="2023-03-29T00:00:00"/>
        <d v="2023-02-10T00:00:00"/>
        <d v="2023-09-01T00:00:00"/>
        <d v="2023-11-20T00:00:00"/>
        <d v="2023-04-14T00:00:00"/>
      </sharedItems>
      <fieldGroup par="15"/>
    </cacheField>
    <cacheField name="Billing_amount" numFmtId="165">
      <sharedItems containsString="0" containsBlank="1" containsNumber="1" minValue="2356.3000000000002" maxValue="49170.05"/>
    </cacheField>
    <cacheField name="Billing_flag" numFmtId="164">
      <sharedItems count="2">
        <s v="ok"/>
        <s v="missing"/>
      </sharedItems>
    </cacheField>
    <cacheField name="Days (Admission_date)" numFmtId="0" databaseField="0">
      <fieldGroup base="7">
        <rangePr groupBy="days" startDate="2023-01-12T00:00:00" endDate="2023-12-27T00:00:00"/>
        <groupItems count="368">
          <s v="&lt;1/12/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7/2023"/>
        </groupItems>
      </fieldGroup>
    </cacheField>
    <cacheField name="Months (Admission_date)" numFmtId="0" databaseField="0">
      <fieldGroup base="7">
        <rangePr groupBy="months" startDate="2023-01-12T00:00:00" endDate="2023-12-27T00:00:00"/>
        <groupItems count="14">
          <s v="&lt;1/12/2023"/>
          <s v="Jan"/>
          <s v="Feb"/>
          <s v="Mar"/>
          <s v="Apr"/>
          <s v="May"/>
          <s v="Jun"/>
          <s v="Jul"/>
          <s v="Aug"/>
          <s v="Sep"/>
          <s v="Oct"/>
          <s v="Nov"/>
          <s v="Dec"/>
          <s v="&gt;12/27/2023"/>
        </groupItems>
      </fieldGroup>
    </cacheField>
    <cacheField name="Months ( Discharge_date)" numFmtId="0" databaseField="0">
      <fieldGroup base="8">
        <rangePr groupBy="months" startDate="2023-01-18T00:00:00" endDate="2024-01-05T00:00:00"/>
        <groupItems count="14">
          <s v="&lt;1/18/2023"/>
          <s v="Jan"/>
          <s v="Feb"/>
          <s v="Mar"/>
          <s v="Apr"/>
          <s v="May"/>
          <s v="Jun"/>
          <s v="Jul"/>
          <s v="Aug"/>
          <s v="Sep"/>
          <s v="Oct"/>
          <s v="Nov"/>
          <s v="Dec"/>
          <s v="&gt;1/5/2024"/>
        </groupItems>
      </fieldGroup>
    </cacheField>
    <cacheField name="Quarters ( Discharge_date)" numFmtId="0" databaseField="0">
      <fieldGroup base="8">
        <rangePr groupBy="quarters" startDate="2023-01-18T00:00:00" endDate="2024-01-05T00:00:00"/>
        <groupItems count="6">
          <s v="&lt;1/18/2023"/>
          <s v="Qtr1"/>
          <s v="Qtr2"/>
          <s v="Qtr3"/>
          <s v="Qtr4"/>
          <s v="&gt;1/5/2024"/>
        </groupItems>
      </fieldGroup>
    </cacheField>
    <cacheField name="Years ( Discharge_date)" numFmtId="0" databaseField="0">
      <fieldGroup base="8">
        <rangePr groupBy="years" startDate="2023-01-18T00:00:00" endDate="2024-01-05T00:00:00"/>
        <groupItems count="4">
          <s v="&lt;1/18/2023"/>
          <s v="2023"/>
          <s v="2024"/>
          <s v="&gt;1/5/2024"/>
        </groupItems>
      </fieldGroup>
    </cacheField>
  </cacheFields>
  <extLst>
    <ext xmlns:x14="http://schemas.microsoft.com/office/spreadsheetml/2009/9/main" uri="{725AE2AE-9491-48be-B2B4-4EB974FC3084}">
      <x14:pivotCacheDefinition pivotCacheId="178506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4"/>
    <n v="1"/>
    <n v="44"/>
    <x v="0"/>
    <s v="Ok"/>
    <x v="0"/>
    <x v="0"/>
    <x v="0"/>
    <x v="0"/>
    <n v="49170.05"/>
    <x v="0"/>
  </r>
  <r>
    <s v="P17"/>
    <n v="2"/>
    <m/>
    <x v="1"/>
    <s v="Missing"/>
    <x v="1"/>
    <x v="1"/>
    <x v="1"/>
    <x v="1"/>
    <n v="45778.51"/>
    <x v="0"/>
  </r>
  <r>
    <s v="P8"/>
    <n v="3"/>
    <m/>
    <x v="1"/>
    <s v="Missing"/>
    <x v="0"/>
    <x v="0"/>
    <x v="2"/>
    <x v="2"/>
    <m/>
    <x v="1"/>
  </r>
  <r>
    <s v="P7"/>
    <n v="4"/>
    <m/>
    <x v="1"/>
    <s v="Missing"/>
    <x v="1"/>
    <x v="1"/>
    <x v="3"/>
    <x v="3"/>
    <n v="46813.33"/>
    <x v="0"/>
  </r>
  <r>
    <s v="P50"/>
    <n v="5"/>
    <n v="67"/>
    <x v="2"/>
    <s v="Ok"/>
    <x v="1"/>
    <x v="2"/>
    <x v="4"/>
    <x v="4"/>
    <n v="41900.15"/>
    <x v="0"/>
  </r>
  <r>
    <s v="P15"/>
    <n v="6"/>
    <m/>
    <x v="1"/>
    <s v="Missing"/>
    <x v="0"/>
    <x v="0"/>
    <x v="5"/>
    <x v="5"/>
    <n v="48117.72"/>
    <x v="0"/>
  </r>
  <r>
    <s v="P31"/>
    <n v="7"/>
    <n v="29"/>
    <x v="3"/>
    <s v="Ok"/>
    <x v="1"/>
    <x v="0"/>
    <x v="6"/>
    <x v="6"/>
    <m/>
    <x v="1"/>
  </r>
  <r>
    <s v="P10"/>
    <n v="8"/>
    <m/>
    <x v="1"/>
    <s v="Missing"/>
    <x v="0"/>
    <x v="0"/>
    <x v="7"/>
    <x v="7"/>
    <n v="6379.39"/>
    <x v="0"/>
  </r>
  <r>
    <s v="P38"/>
    <n v="9"/>
    <n v="1"/>
    <x v="1"/>
    <s v="Check"/>
    <x v="0"/>
    <x v="1"/>
    <x v="8"/>
    <x v="8"/>
    <m/>
    <x v="1"/>
  </r>
  <r>
    <s v="P43"/>
    <n v="10"/>
    <m/>
    <x v="1"/>
    <s v="Missing"/>
    <x v="0"/>
    <x v="3"/>
    <x v="9"/>
    <x v="9"/>
    <n v="21753.77"/>
    <x v="0"/>
  </r>
  <r>
    <s v="P25"/>
    <n v="11"/>
    <m/>
    <x v="1"/>
    <s v="Missing"/>
    <x v="0"/>
    <x v="3"/>
    <x v="10"/>
    <x v="10"/>
    <m/>
    <x v="1"/>
  </r>
  <r>
    <s v="P10"/>
    <n v="12"/>
    <n v="52"/>
    <x v="0"/>
    <s v="Ok"/>
    <x v="0"/>
    <x v="4"/>
    <x v="11"/>
    <x v="11"/>
    <m/>
    <x v="1"/>
  </r>
  <r>
    <s v="P30"/>
    <n v="13"/>
    <m/>
    <x v="1"/>
    <s v="Missing"/>
    <x v="0"/>
    <x v="1"/>
    <x v="4"/>
    <x v="12"/>
    <n v="20798.8"/>
    <x v="0"/>
  </r>
  <r>
    <s v="P6"/>
    <n v="14"/>
    <n v="46"/>
    <x v="0"/>
    <s v="Ok"/>
    <x v="1"/>
    <x v="2"/>
    <x v="12"/>
    <x v="13"/>
    <n v="42050.51"/>
    <x v="0"/>
  </r>
  <r>
    <s v="P15"/>
    <n v="15"/>
    <m/>
    <x v="1"/>
    <s v="Missing"/>
    <x v="0"/>
    <x v="4"/>
    <x v="13"/>
    <x v="14"/>
    <m/>
    <x v="1"/>
  </r>
  <r>
    <s v="P32"/>
    <n v="16"/>
    <n v="36"/>
    <x v="0"/>
    <s v="Ok"/>
    <x v="1"/>
    <x v="0"/>
    <x v="14"/>
    <x v="15"/>
    <m/>
    <x v="1"/>
  </r>
  <r>
    <s v="P16"/>
    <n v="17"/>
    <m/>
    <x v="1"/>
    <s v="Missing"/>
    <x v="1"/>
    <x v="5"/>
    <x v="15"/>
    <x v="16"/>
    <m/>
    <x v="1"/>
  </r>
  <r>
    <s v="P40"/>
    <n v="18"/>
    <m/>
    <x v="1"/>
    <s v="Missing"/>
    <x v="1"/>
    <x v="4"/>
    <x v="16"/>
    <x v="17"/>
    <n v="21821.73"/>
    <x v="0"/>
  </r>
  <r>
    <s v="P26"/>
    <n v="19"/>
    <m/>
    <x v="1"/>
    <s v="Missing"/>
    <x v="0"/>
    <x v="3"/>
    <x v="17"/>
    <x v="18"/>
    <m/>
    <x v="1"/>
  </r>
  <r>
    <s v="P45"/>
    <n v="20"/>
    <n v="37"/>
    <x v="0"/>
    <s v="Ok"/>
    <x v="0"/>
    <x v="4"/>
    <x v="18"/>
    <x v="19"/>
    <n v="42656.07"/>
    <x v="0"/>
  </r>
  <r>
    <s v="P2"/>
    <n v="21"/>
    <n v="78"/>
    <x v="2"/>
    <s v="Ok"/>
    <x v="0"/>
    <x v="5"/>
    <x v="19"/>
    <x v="20"/>
    <m/>
    <x v="1"/>
  </r>
  <r>
    <s v="P38"/>
    <n v="22"/>
    <m/>
    <x v="1"/>
    <s v="Missing"/>
    <x v="0"/>
    <x v="2"/>
    <x v="20"/>
    <x v="21"/>
    <m/>
    <x v="1"/>
  </r>
  <r>
    <s v="P14"/>
    <n v="23"/>
    <n v="40"/>
    <x v="0"/>
    <s v="Ok"/>
    <x v="0"/>
    <x v="2"/>
    <x v="21"/>
    <x v="22"/>
    <m/>
    <x v="1"/>
  </r>
  <r>
    <s v="P39"/>
    <n v="24"/>
    <m/>
    <x v="1"/>
    <s v="Missing"/>
    <x v="1"/>
    <x v="4"/>
    <x v="13"/>
    <x v="14"/>
    <n v="17002.009999999998"/>
    <x v="0"/>
  </r>
  <r>
    <s v="P21"/>
    <n v="25"/>
    <n v="23"/>
    <x v="3"/>
    <s v="Ok"/>
    <x v="1"/>
    <x v="5"/>
    <x v="22"/>
    <x v="23"/>
    <m/>
    <x v="1"/>
  </r>
  <r>
    <s v="P17"/>
    <n v="26"/>
    <m/>
    <x v="1"/>
    <s v="Missing"/>
    <x v="1"/>
    <x v="1"/>
    <x v="23"/>
    <x v="24"/>
    <m/>
    <x v="1"/>
  </r>
  <r>
    <s v="P8"/>
    <n v="27"/>
    <m/>
    <x v="1"/>
    <s v="Missing"/>
    <x v="0"/>
    <x v="1"/>
    <x v="18"/>
    <x v="25"/>
    <m/>
    <x v="1"/>
  </r>
  <r>
    <s v="P44"/>
    <n v="28"/>
    <n v="71"/>
    <x v="2"/>
    <s v="Ok"/>
    <x v="1"/>
    <x v="1"/>
    <x v="24"/>
    <x v="26"/>
    <m/>
    <x v="1"/>
  </r>
  <r>
    <s v="P1"/>
    <n v="29"/>
    <m/>
    <x v="1"/>
    <s v="Missing"/>
    <x v="1"/>
    <x v="3"/>
    <x v="25"/>
    <x v="27"/>
    <m/>
    <x v="1"/>
  </r>
  <r>
    <s v="P2"/>
    <n v="30"/>
    <m/>
    <x v="1"/>
    <s v="Missing"/>
    <x v="0"/>
    <x v="1"/>
    <x v="10"/>
    <x v="28"/>
    <m/>
    <x v="1"/>
  </r>
  <r>
    <s v="P44"/>
    <n v="31"/>
    <m/>
    <x v="1"/>
    <s v="Missing"/>
    <x v="1"/>
    <x v="0"/>
    <x v="26"/>
    <x v="29"/>
    <m/>
    <x v="1"/>
  </r>
  <r>
    <s v="P48"/>
    <n v="32"/>
    <m/>
    <x v="1"/>
    <s v="Missing"/>
    <x v="0"/>
    <x v="5"/>
    <x v="27"/>
    <x v="30"/>
    <m/>
    <x v="1"/>
  </r>
  <r>
    <s v="P20"/>
    <n v="33"/>
    <m/>
    <x v="1"/>
    <s v="Missing"/>
    <x v="0"/>
    <x v="2"/>
    <x v="28"/>
    <x v="31"/>
    <m/>
    <x v="1"/>
  </r>
  <r>
    <s v="P36"/>
    <n v="34"/>
    <m/>
    <x v="1"/>
    <s v="Missing"/>
    <x v="0"/>
    <x v="0"/>
    <x v="29"/>
    <x v="18"/>
    <n v="23584.75"/>
    <x v="0"/>
  </r>
  <r>
    <s v="P18"/>
    <n v="35"/>
    <m/>
    <x v="1"/>
    <s v="Missing"/>
    <x v="0"/>
    <x v="2"/>
    <x v="30"/>
    <x v="32"/>
    <m/>
    <x v="1"/>
  </r>
  <r>
    <s v="P50"/>
    <n v="36"/>
    <m/>
    <x v="1"/>
    <s v="Missing"/>
    <x v="1"/>
    <x v="0"/>
    <x v="16"/>
    <x v="33"/>
    <m/>
    <x v="1"/>
  </r>
  <r>
    <s v="P42"/>
    <n v="37"/>
    <n v="11"/>
    <x v="1"/>
    <s v="Ok"/>
    <x v="1"/>
    <x v="3"/>
    <x v="31"/>
    <x v="34"/>
    <m/>
    <x v="1"/>
  </r>
  <r>
    <s v="P5"/>
    <n v="38"/>
    <m/>
    <x v="1"/>
    <s v="Missing"/>
    <x v="0"/>
    <x v="4"/>
    <x v="32"/>
    <x v="35"/>
    <n v="28495.3"/>
    <x v="0"/>
  </r>
  <r>
    <s v="P12"/>
    <n v="39"/>
    <n v="76"/>
    <x v="2"/>
    <s v="Ok"/>
    <x v="0"/>
    <x v="4"/>
    <x v="33"/>
    <x v="36"/>
    <m/>
    <x v="1"/>
  </r>
  <r>
    <s v="P4"/>
    <n v="40"/>
    <n v="54"/>
    <x v="0"/>
    <s v="Ok"/>
    <x v="0"/>
    <x v="4"/>
    <x v="34"/>
    <x v="37"/>
    <m/>
    <x v="1"/>
  </r>
  <r>
    <s v="P39"/>
    <n v="41"/>
    <m/>
    <x v="1"/>
    <s v="Missing"/>
    <x v="1"/>
    <x v="1"/>
    <x v="35"/>
    <x v="38"/>
    <m/>
    <x v="1"/>
  </r>
  <r>
    <s v="P19"/>
    <n v="42"/>
    <n v="40"/>
    <x v="0"/>
    <s v="Ok"/>
    <x v="0"/>
    <x v="0"/>
    <x v="36"/>
    <x v="39"/>
    <m/>
    <x v="1"/>
  </r>
  <r>
    <s v="P46"/>
    <n v="43"/>
    <m/>
    <x v="1"/>
    <s v="Missing"/>
    <x v="0"/>
    <x v="2"/>
    <x v="37"/>
    <x v="40"/>
    <m/>
    <x v="1"/>
  </r>
  <r>
    <s v="P9"/>
    <n v="44"/>
    <n v="61"/>
    <x v="2"/>
    <s v="Ok"/>
    <x v="1"/>
    <x v="1"/>
    <x v="38"/>
    <x v="41"/>
    <n v="13591.42"/>
    <x v="0"/>
  </r>
  <r>
    <s v="P18"/>
    <n v="45"/>
    <m/>
    <x v="1"/>
    <s v="Missing"/>
    <x v="0"/>
    <x v="2"/>
    <x v="39"/>
    <x v="33"/>
    <n v="7585.24"/>
    <x v="0"/>
  </r>
  <r>
    <s v="P21"/>
    <n v="46"/>
    <m/>
    <x v="1"/>
    <s v="Missing"/>
    <x v="1"/>
    <x v="0"/>
    <x v="40"/>
    <x v="42"/>
    <n v="26958.42"/>
    <x v="0"/>
  </r>
  <r>
    <s v="P9"/>
    <n v="47"/>
    <n v="48"/>
    <x v="0"/>
    <s v="Ok"/>
    <x v="1"/>
    <x v="3"/>
    <x v="41"/>
    <x v="43"/>
    <n v="24199.17"/>
    <x v="0"/>
  </r>
  <r>
    <s v="P7"/>
    <n v="48"/>
    <m/>
    <x v="1"/>
    <s v="Missing"/>
    <x v="1"/>
    <x v="5"/>
    <x v="22"/>
    <x v="11"/>
    <n v="2356.3000000000002"/>
    <x v="0"/>
  </r>
  <r>
    <s v="P11"/>
    <n v="49"/>
    <n v="24"/>
    <x v="3"/>
    <s v="Ok"/>
    <x v="1"/>
    <x v="3"/>
    <x v="42"/>
    <x v="44"/>
    <m/>
    <x v="1"/>
  </r>
  <r>
    <s v="P10"/>
    <n v="50"/>
    <n v="51"/>
    <x v="0"/>
    <s v="Ok"/>
    <x v="0"/>
    <x v="0"/>
    <x v="43"/>
    <x v="45"/>
    <m/>
    <x v="1"/>
  </r>
  <r>
    <s v="P29"/>
    <n v="51"/>
    <n v="66"/>
    <x v="2"/>
    <s v="Ok"/>
    <x v="0"/>
    <x v="1"/>
    <x v="44"/>
    <x v="46"/>
    <m/>
    <x v="1"/>
  </r>
  <r>
    <s v="P32"/>
    <n v="52"/>
    <m/>
    <x v="1"/>
    <s v="Missing"/>
    <x v="1"/>
    <x v="5"/>
    <x v="45"/>
    <x v="47"/>
    <m/>
    <x v="1"/>
  </r>
  <r>
    <s v="P27"/>
    <n v="53"/>
    <n v="22"/>
    <x v="3"/>
    <s v="Ok"/>
    <x v="1"/>
    <x v="1"/>
    <x v="46"/>
    <x v="48"/>
    <m/>
    <x v="1"/>
  </r>
  <r>
    <s v="P3"/>
    <n v="54"/>
    <n v="5"/>
    <x v="1"/>
    <s v="Ok"/>
    <x v="1"/>
    <x v="2"/>
    <x v="47"/>
    <x v="4"/>
    <m/>
    <x v="1"/>
  </r>
  <r>
    <s v="P22"/>
    <n v="55"/>
    <m/>
    <x v="1"/>
    <s v="Missing"/>
    <x v="0"/>
    <x v="3"/>
    <x v="48"/>
    <x v="49"/>
    <n v="42643.49"/>
    <x v="0"/>
  </r>
  <r>
    <s v="P23"/>
    <n v="56"/>
    <m/>
    <x v="1"/>
    <s v="Missing"/>
    <x v="0"/>
    <x v="0"/>
    <x v="24"/>
    <x v="50"/>
    <m/>
    <x v="1"/>
  </r>
  <r>
    <s v="P4"/>
    <n v="57"/>
    <n v="62"/>
    <x v="2"/>
    <s v="Ok"/>
    <x v="0"/>
    <x v="0"/>
    <x v="49"/>
    <x v="51"/>
    <n v="39034.699999999997"/>
    <x v="0"/>
  </r>
  <r>
    <s v="P17"/>
    <n v="58"/>
    <m/>
    <x v="1"/>
    <s v="Missing"/>
    <x v="1"/>
    <x v="1"/>
    <x v="50"/>
    <x v="52"/>
    <m/>
    <x v="1"/>
  </r>
  <r>
    <s v="P48"/>
    <n v="59"/>
    <m/>
    <x v="1"/>
    <s v="Missing"/>
    <x v="0"/>
    <x v="3"/>
    <x v="51"/>
    <x v="5"/>
    <m/>
    <x v="1"/>
  </r>
  <r>
    <s v="P1"/>
    <n v="60"/>
    <m/>
    <x v="1"/>
    <s v="Missing"/>
    <x v="1"/>
    <x v="3"/>
    <x v="52"/>
    <x v="53"/>
    <n v="35337.75"/>
    <x v="0"/>
  </r>
  <r>
    <s v="P1"/>
    <n v="61"/>
    <m/>
    <x v="1"/>
    <s v="Missing"/>
    <x v="1"/>
    <x v="4"/>
    <x v="53"/>
    <x v="16"/>
    <n v="3511.23"/>
    <x v="0"/>
  </r>
  <r>
    <s v="P29"/>
    <n v="62"/>
    <m/>
    <x v="1"/>
    <s v="Missing"/>
    <x v="0"/>
    <x v="0"/>
    <x v="18"/>
    <x v="18"/>
    <m/>
    <x v="1"/>
  </r>
  <r>
    <s v="P36"/>
    <n v="63"/>
    <n v="68"/>
    <x v="2"/>
    <s v="Ok"/>
    <x v="0"/>
    <x v="1"/>
    <x v="54"/>
    <x v="54"/>
    <n v="9456.41"/>
    <x v="0"/>
  </r>
  <r>
    <s v="P31"/>
    <n v="64"/>
    <m/>
    <x v="1"/>
    <s v="Missing"/>
    <x v="1"/>
    <x v="0"/>
    <x v="55"/>
    <x v="55"/>
    <n v="45295.77"/>
    <x v="0"/>
  </r>
  <r>
    <s v="P16"/>
    <n v="65"/>
    <m/>
    <x v="1"/>
    <s v="Missing"/>
    <x v="1"/>
    <x v="0"/>
    <x v="31"/>
    <x v="56"/>
    <m/>
    <x v="1"/>
  </r>
  <r>
    <s v="P30"/>
    <n v="66"/>
    <m/>
    <x v="1"/>
    <s v="Missing"/>
    <x v="0"/>
    <x v="0"/>
    <x v="56"/>
    <x v="57"/>
    <m/>
    <x v="1"/>
  </r>
  <r>
    <s v="P42"/>
    <n v="67"/>
    <n v="45"/>
    <x v="0"/>
    <s v="Ok"/>
    <x v="1"/>
    <x v="0"/>
    <x v="57"/>
    <x v="58"/>
    <m/>
    <x v="1"/>
  </r>
  <r>
    <s v="P3"/>
    <n v="68"/>
    <n v="75"/>
    <x v="2"/>
    <s v="Ok"/>
    <x v="1"/>
    <x v="0"/>
    <x v="58"/>
    <x v="59"/>
    <n v="48829.91"/>
    <x v="0"/>
  </r>
  <r>
    <s v="P11"/>
    <n v="69"/>
    <m/>
    <x v="1"/>
    <s v="Missing"/>
    <x v="1"/>
    <x v="0"/>
    <x v="59"/>
    <x v="60"/>
    <m/>
    <x v="1"/>
  </r>
  <r>
    <s v="P12"/>
    <n v="70"/>
    <m/>
    <x v="1"/>
    <s v="Missing"/>
    <x v="0"/>
    <x v="5"/>
    <x v="60"/>
    <x v="61"/>
    <m/>
    <x v="1"/>
  </r>
  <r>
    <s v="P8"/>
    <n v="71"/>
    <m/>
    <x v="1"/>
    <s v="Missing"/>
    <x v="0"/>
    <x v="2"/>
    <x v="61"/>
    <x v="62"/>
    <m/>
    <x v="1"/>
  </r>
  <r>
    <s v="P38"/>
    <n v="72"/>
    <n v="71"/>
    <x v="2"/>
    <s v="Ok"/>
    <x v="0"/>
    <x v="4"/>
    <x v="62"/>
    <x v="63"/>
    <m/>
    <x v="1"/>
  </r>
  <r>
    <s v="P49"/>
    <n v="73"/>
    <n v="77"/>
    <x v="2"/>
    <s v="Ok"/>
    <x v="1"/>
    <x v="5"/>
    <x v="63"/>
    <x v="64"/>
    <m/>
    <x v="1"/>
  </r>
  <r>
    <s v="P9"/>
    <n v="74"/>
    <n v="39"/>
    <x v="0"/>
    <s v="Ok"/>
    <x v="1"/>
    <x v="4"/>
    <x v="0"/>
    <x v="65"/>
    <m/>
    <x v="1"/>
  </r>
  <r>
    <s v="P1"/>
    <n v="75"/>
    <m/>
    <x v="1"/>
    <s v="Missing"/>
    <x v="1"/>
    <x v="2"/>
    <x v="64"/>
    <x v="59"/>
    <n v="38280"/>
    <x v="0"/>
  </r>
  <r>
    <s v="P49"/>
    <n v="76"/>
    <n v="26"/>
    <x v="3"/>
    <s v="Ok"/>
    <x v="1"/>
    <x v="0"/>
    <x v="40"/>
    <x v="42"/>
    <m/>
    <x v="1"/>
  </r>
  <r>
    <s v="P16"/>
    <n v="77"/>
    <m/>
    <x v="1"/>
    <s v="Missing"/>
    <x v="1"/>
    <x v="4"/>
    <x v="65"/>
    <x v="66"/>
    <n v="31318.61"/>
    <x v="0"/>
  </r>
  <r>
    <s v="P22"/>
    <n v="78"/>
    <m/>
    <x v="1"/>
    <s v="Missing"/>
    <x v="0"/>
    <x v="2"/>
    <x v="66"/>
    <x v="67"/>
    <m/>
    <x v="1"/>
  </r>
  <r>
    <s v="P4"/>
    <n v="79"/>
    <m/>
    <x v="1"/>
    <s v="Missing"/>
    <x v="0"/>
    <x v="0"/>
    <x v="67"/>
    <x v="68"/>
    <m/>
    <x v="1"/>
  </r>
  <r>
    <s v="P37"/>
    <n v="80"/>
    <n v="47"/>
    <x v="0"/>
    <s v="Ok"/>
    <x v="0"/>
    <x v="3"/>
    <x v="21"/>
    <x v="53"/>
    <n v="14974.84"/>
    <x v="0"/>
  </r>
  <r>
    <s v="P45"/>
    <n v="81"/>
    <m/>
    <x v="1"/>
    <s v="Missing"/>
    <x v="0"/>
    <x v="0"/>
    <x v="33"/>
    <x v="69"/>
    <n v="19983.060000000001"/>
    <x v="0"/>
  </r>
  <r>
    <s v="P44"/>
    <n v="82"/>
    <m/>
    <x v="1"/>
    <s v="Missing"/>
    <x v="1"/>
    <x v="4"/>
    <x v="68"/>
    <x v="70"/>
    <m/>
    <x v="1"/>
  </r>
  <r>
    <s v="P18"/>
    <n v="83"/>
    <m/>
    <x v="1"/>
    <s v="Missing"/>
    <x v="0"/>
    <x v="0"/>
    <x v="15"/>
    <x v="71"/>
    <m/>
    <x v="1"/>
  </r>
  <r>
    <s v="P39"/>
    <n v="84"/>
    <m/>
    <x v="1"/>
    <s v="Missing"/>
    <x v="1"/>
    <x v="0"/>
    <x v="69"/>
    <x v="72"/>
    <m/>
    <x v="1"/>
  </r>
  <r>
    <s v="P4"/>
    <n v="85"/>
    <n v="47"/>
    <x v="0"/>
    <s v="Ok"/>
    <x v="0"/>
    <x v="1"/>
    <x v="16"/>
    <x v="73"/>
    <m/>
    <x v="1"/>
  </r>
  <r>
    <s v="P4"/>
    <n v="86"/>
    <m/>
    <x v="1"/>
    <s v="Missing"/>
    <x v="0"/>
    <x v="3"/>
    <x v="70"/>
    <x v="74"/>
    <n v="9375.59"/>
    <x v="0"/>
  </r>
  <r>
    <s v="P24"/>
    <n v="87"/>
    <m/>
    <x v="1"/>
    <s v="Missing"/>
    <x v="1"/>
    <x v="2"/>
    <x v="71"/>
    <x v="75"/>
    <n v="47546.49"/>
    <x v="0"/>
  </r>
  <r>
    <s v="P15"/>
    <n v="88"/>
    <m/>
    <x v="1"/>
    <s v="Missing"/>
    <x v="0"/>
    <x v="4"/>
    <x v="48"/>
    <x v="76"/>
    <m/>
    <x v="1"/>
  </r>
  <r>
    <s v="P2"/>
    <n v="89"/>
    <m/>
    <x v="1"/>
    <s v="Missing"/>
    <x v="0"/>
    <x v="0"/>
    <x v="72"/>
    <x v="77"/>
    <m/>
    <x v="1"/>
  </r>
  <r>
    <s v="P44"/>
    <n v="90"/>
    <m/>
    <x v="1"/>
    <s v="Missing"/>
    <x v="1"/>
    <x v="4"/>
    <x v="73"/>
    <x v="78"/>
    <m/>
    <x v="1"/>
  </r>
  <r>
    <s v="P13"/>
    <n v="91"/>
    <m/>
    <x v="1"/>
    <s v="Missing"/>
    <x v="0"/>
    <x v="5"/>
    <x v="5"/>
    <x v="79"/>
    <n v="18641.18"/>
    <x v="0"/>
  </r>
  <r>
    <s v="P13"/>
    <n v="92"/>
    <m/>
    <x v="1"/>
    <s v="Missing"/>
    <x v="0"/>
    <x v="1"/>
    <x v="15"/>
    <x v="80"/>
    <n v="25163.48"/>
    <x v="0"/>
  </r>
  <r>
    <s v="P12"/>
    <n v="93"/>
    <n v="53"/>
    <x v="0"/>
    <s v="Ok"/>
    <x v="0"/>
    <x v="2"/>
    <x v="44"/>
    <x v="81"/>
    <n v="27883.22"/>
    <x v="0"/>
  </r>
  <r>
    <s v="P26"/>
    <n v="94"/>
    <m/>
    <x v="1"/>
    <s v="Missing"/>
    <x v="0"/>
    <x v="5"/>
    <x v="11"/>
    <x v="7"/>
    <n v="13276.08"/>
    <x v="0"/>
  </r>
  <r>
    <s v="P34"/>
    <n v="95"/>
    <m/>
    <x v="1"/>
    <s v="Missing"/>
    <x v="1"/>
    <x v="0"/>
    <x v="68"/>
    <x v="82"/>
    <m/>
    <x v="1"/>
  </r>
  <r>
    <s v="P15"/>
    <n v="96"/>
    <m/>
    <x v="1"/>
    <s v="Missing"/>
    <x v="0"/>
    <x v="1"/>
    <x v="74"/>
    <x v="83"/>
    <n v="41154.46"/>
    <x v="0"/>
  </r>
  <r>
    <s v="P11"/>
    <n v="97"/>
    <m/>
    <x v="1"/>
    <s v="Missing"/>
    <x v="1"/>
    <x v="5"/>
    <x v="75"/>
    <x v="84"/>
    <m/>
    <x v="1"/>
  </r>
  <r>
    <s v="P8"/>
    <n v="98"/>
    <m/>
    <x v="1"/>
    <s v="Missing"/>
    <x v="0"/>
    <x v="4"/>
    <x v="76"/>
    <x v="85"/>
    <m/>
    <x v="1"/>
  </r>
  <r>
    <s v="P26"/>
    <n v="99"/>
    <m/>
    <x v="1"/>
    <s v="Missing"/>
    <x v="0"/>
    <x v="2"/>
    <x v="77"/>
    <x v="86"/>
    <m/>
    <x v="1"/>
  </r>
  <r>
    <s v="P11"/>
    <n v="100"/>
    <n v="2"/>
    <x v="1"/>
    <s v="Check"/>
    <x v="1"/>
    <x v="0"/>
    <x v="78"/>
    <x v="87"/>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77797-D56C-4064-99EC-3F3850B9C4E0}" name="PivotTable1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D78:E83" firstHeaderRow="1" firstDataRow="1" firstDataCol="1"/>
  <pivotFields count="16">
    <pivotField dataField="1"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4"/>
        <item x="1"/>
        <item x="2"/>
        <item x="0"/>
        <item x="3"/>
        <item x="5"/>
        <item t="default"/>
      </items>
    </pivotField>
    <pivotField numFmtId="164" showAll="0">
      <items count="80">
        <item x="11"/>
        <item x="7"/>
        <item x="22"/>
        <item x="51"/>
        <item x="5"/>
        <item x="50"/>
        <item x="23"/>
        <item x="40"/>
        <item x="66"/>
        <item x="46"/>
        <item x="75"/>
        <item x="59"/>
        <item x="44"/>
        <item x="67"/>
        <item x="61"/>
        <item x="49"/>
        <item x="54"/>
        <item x="14"/>
        <item x="0"/>
        <item x="55"/>
        <item x="39"/>
        <item x="16"/>
        <item x="74"/>
        <item x="1"/>
        <item x="30"/>
        <item x="71"/>
        <item x="78"/>
        <item x="73"/>
        <item x="68"/>
        <item x="19"/>
        <item x="34"/>
        <item x="69"/>
        <item x="60"/>
        <item x="38"/>
        <item x="20"/>
        <item x="25"/>
        <item x="37"/>
        <item x="57"/>
        <item x="28"/>
        <item x="43"/>
        <item x="48"/>
        <item x="33"/>
        <item x="6"/>
        <item x="18"/>
        <item x="17"/>
        <item x="65"/>
        <item x="29"/>
        <item x="52"/>
        <item x="21"/>
        <item x="27"/>
        <item x="24"/>
        <item x="13"/>
        <item x="63"/>
        <item x="15"/>
        <item x="76"/>
        <item x="53"/>
        <item x="70"/>
        <item x="64"/>
        <item x="58"/>
        <item x="32"/>
        <item x="2"/>
        <item x="72"/>
        <item x="31"/>
        <item x="10"/>
        <item x="3"/>
        <item x="62"/>
        <item x="4"/>
        <item x="45"/>
        <item x="56"/>
        <item x="47"/>
        <item x="77"/>
        <item x="26"/>
        <item x="41"/>
        <item x="12"/>
        <item x="8"/>
        <item x="9"/>
        <item x="36"/>
        <item x="42"/>
        <item x="35"/>
        <item t="default"/>
      </items>
    </pivotField>
    <pivotField numFmtId="164" showAll="0">
      <items count="89">
        <item x="7"/>
        <item x="23"/>
        <item x="11"/>
        <item x="52"/>
        <item x="5"/>
        <item x="79"/>
        <item x="24"/>
        <item x="42"/>
        <item x="48"/>
        <item x="67"/>
        <item x="84"/>
        <item x="60"/>
        <item x="46"/>
        <item x="81"/>
        <item x="68"/>
        <item x="51"/>
        <item x="62"/>
        <item x="0"/>
        <item x="54"/>
        <item x="65"/>
        <item x="15"/>
        <item x="73"/>
        <item x="55"/>
        <item x="83"/>
        <item x="17"/>
        <item x="33"/>
        <item x="32"/>
        <item x="75"/>
        <item x="1"/>
        <item x="78"/>
        <item x="82"/>
        <item x="87"/>
        <item x="70"/>
        <item x="20"/>
        <item x="37"/>
        <item x="72"/>
        <item x="61"/>
        <item x="41"/>
        <item x="21"/>
        <item x="27"/>
        <item x="40"/>
        <item x="58"/>
        <item x="31"/>
        <item x="45"/>
        <item x="49"/>
        <item x="76"/>
        <item x="36"/>
        <item x="69"/>
        <item x="6"/>
        <item x="25"/>
        <item x="19"/>
        <item x="18"/>
        <item x="66"/>
        <item x="22"/>
        <item x="53"/>
        <item x="30"/>
        <item x="50"/>
        <item x="26"/>
        <item x="14"/>
        <item x="64"/>
        <item x="80"/>
        <item x="85"/>
        <item x="71"/>
        <item x="16"/>
        <item x="74"/>
        <item x="59"/>
        <item x="35"/>
        <item x="2"/>
        <item x="77"/>
        <item x="56"/>
        <item x="34"/>
        <item x="28"/>
        <item x="10"/>
        <item x="12"/>
        <item x="63"/>
        <item x="3"/>
        <item x="4"/>
        <item x="47"/>
        <item x="57"/>
        <item x="29"/>
        <item x="86"/>
        <item x="43"/>
        <item x="13"/>
        <item x="8"/>
        <item x="9"/>
        <item x="39"/>
        <item x="44"/>
        <item x="38"/>
        <item t="default"/>
      </items>
    </pivotField>
    <pivotField showAll="0"/>
    <pivotField showAll="0" sortType="descending">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2"/>
    </i>
    <i>
      <x v="3"/>
    </i>
    <i>
      <x v="1"/>
    </i>
    <i t="grand">
      <x/>
    </i>
  </rowItems>
  <colItems count="1">
    <i/>
  </colItems>
  <dataFields count="1">
    <dataField name="Count of Patient_id" fld="0" subtotal="count" baseField="0" baseItem="0"/>
  </dataFields>
  <formats count="5">
    <format dxfId="165">
      <pivotArea type="all" dataOnly="0" outline="0" fieldPosition="0"/>
    </format>
    <format dxfId="164">
      <pivotArea outline="0" collapsedLevelsAreSubtotals="1" fieldPosition="0"/>
    </format>
    <format dxfId="163">
      <pivotArea field="10" type="button" dataOnly="0" labelOnly="1" outline="0"/>
    </format>
    <format dxfId="162">
      <pivotArea dataOnly="0" labelOnly="1" grandRow="1" outline="0" fieldPosition="0"/>
    </format>
    <format dxfId="161">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BB0BE1-2973-4832-8D7F-E8944EE4265C}"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E10" firstHeaderRow="1" firstDataRow="1" firstDataCol="1"/>
  <pivotFields count="16">
    <pivotField showAll="0"/>
    <pivotField showAll="0"/>
    <pivotField showAll="0"/>
    <pivotField showAll="0"/>
    <pivotField showAll="0"/>
    <pivotField showAll="0">
      <items count="3">
        <item x="1"/>
        <item x="0"/>
        <item t="default"/>
      </items>
    </pivotField>
    <pivotField axis="axisRow" showAll="0" sortType="descending">
      <items count="7">
        <item x="4"/>
        <item x="1"/>
        <item x="2"/>
        <item x="0"/>
        <item x="3"/>
        <item x="5"/>
        <item t="default"/>
      </items>
      <autoSortScope>
        <pivotArea dataOnly="0" outline="0" fieldPosition="0">
          <references count="1">
            <reference field="4294967294" count="1" selected="0">
              <x v="0"/>
            </reference>
          </references>
        </pivotArea>
      </autoSortScope>
    </pivotField>
    <pivotField numFmtId="164" showAll="0">
      <items count="80">
        <item x="11"/>
        <item x="7"/>
        <item x="22"/>
        <item x="51"/>
        <item x="5"/>
        <item x="50"/>
        <item x="23"/>
        <item x="40"/>
        <item x="66"/>
        <item x="46"/>
        <item x="75"/>
        <item x="59"/>
        <item x="44"/>
        <item x="67"/>
        <item x="61"/>
        <item x="49"/>
        <item x="54"/>
        <item x="14"/>
        <item x="0"/>
        <item x="55"/>
        <item x="39"/>
        <item x="16"/>
        <item x="74"/>
        <item x="1"/>
        <item x="30"/>
        <item x="71"/>
        <item x="78"/>
        <item x="73"/>
        <item x="68"/>
        <item x="19"/>
        <item x="34"/>
        <item x="69"/>
        <item x="60"/>
        <item x="38"/>
        <item x="20"/>
        <item x="25"/>
        <item x="37"/>
        <item x="57"/>
        <item x="28"/>
        <item x="43"/>
        <item x="48"/>
        <item x="33"/>
        <item x="6"/>
        <item x="18"/>
        <item x="17"/>
        <item x="65"/>
        <item x="29"/>
        <item x="52"/>
        <item x="21"/>
        <item x="27"/>
        <item x="24"/>
        <item x="13"/>
        <item x="63"/>
        <item x="15"/>
        <item x="76"/>
        <item x="53"/>
        <item x="70"/>
        <item x="64"/>
        <item x="58"/>
        <item x="32"/>
        <item x="2"/>
        <item x="72"/>
        <item x="31"/>
        <item x="10"/>
        <item x="3"/>
        <item x="62"/>
        <item x="4"/>
        <item x="45"/>
        <item x="56"/>
        <item x="47"/>
        <item x="77"/>
        <item x="26"/>
        <item x="41"/>
        <item x="12"/>
        <item x="8"/>
        <item x="9"/>
        <item x="36"/>
        <item x="42"/>
        <item x="35"/>
        <item t="default"/>
      </items>
    </pivotField>
    <pivotField numFmtId="164" showAll="0">
      <items count="89">
        <item x="7"/>
        <item x="23"/>
        <item x="11"/>
        <item x="52"/>
        <item x="5"/>
        <item x="79"/>
        <item x="24"/>
        <item x="42"/>
        <item x="48"/>
        <item x="67"/>
        <item x="84"/>
        <item x="60"/>
        <item x="46"/>
        <item x="81"/>
        <item x="68"/>
        <item x="51"/>
        <item x="62"/>
        <item x="0"/>
        <item x="54"/>
        <item x="65"/>
        <item x="15"/>
        <item x="73"/>
        <item x="55"/>
        <item x="83"/>
        <item x="17"/>
        <item x="33"/>
        <item x="32"/>
        <item x="75"/>
        <item x="1"/>
        <item x="78"/>
        <item x="82"/>
        <item x="87"/>
        <item x="70"/>
        <item x="20"/>
        <item x="37"/>
        <item x="72"/>
        <item x="61"/>
        <item x="41"/>
        <item x="21"/>
        <item x="27"/>
        <item x="40"/>
        <item x="58"/>
        <item x="31"/>
        <item x="45"/>
        <item x="49"/>
        <item x="76"/>
        <item x="36"/>
        <item x="69"/>
        <item x="6"/>
        <item x="25"/>
        <item x="19"/>
        <item x="18"/>
        <item x="66"/>
        <item x="22"/>
        <item x="53"/>
        <item x="30"/>
        <item x="50"/>
        <item x="26"/>
        <item x="14"/>
        <item x="64"/>
        <item x="80"/>
        <item x="85"/>
        <item x="71"/>
        <item x="16"/>
        <item x="74"/>
        <item x="59"/>
        <item x="35"/>
        <item x="2"/>
        <item x="77"/>
        <item x="56"/>
        <item x="34"/>
        <item x="28"/>
        <item x="10"/>
        <item x="12"/>
        <item x="63"/>
        <item x="3"/>
        <item x="4"/>
        <item x="47"/>
        <item x="57"/>
        <item x="29"/>
        <item x="86"/>
        <item x="43"/>
        <item x="13"/>
        <item x="8"/>
        <item x="9"/>
        <item x="39"/>
        <item x="44"/>
        <item x="38"/>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v="3"/>
    </i>
    <i>
      <x v="2"/>
    </i>
    <i>
      <x v="1"/>
    </i>
    <i>
      <x v="4"/>
    </i>
    <i>
      <x/>
    </i>
    <i>
      <x v="5"/>
    </i>
    <i t="grand">
      <x/>
    </i>
  </rowItems>
  <colItems count="1">
    <i/>
  </colItems>
  <dataFields count="1">
    <dataField name="Sum of Billing_amount" fld="9" baseField="0" baseItem="0" numFmtId="165"/>
  </dataFields>
  <formats count="1">
    <format dxfId="16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27BBD9-D043-441D-90FB-445BB2E58ECE}"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D60:E73" firstHeaderRow="1" firstDataRow="1" firstDataCol="1"/>
  <pivotFields count="16">
    <pivotField showAll="0"/>
    <pivotField showAll="0"/>
    <pivotField showAll="0"/>
    <pivotField showAll="0"/>
    <pivotField showAll="0"/>
    <pivotField showAll="0">
      <items count="3">
        <item x="1"/>
        <item x="0"/>
        <item t="default"/>
      </items>
    </pivotField>
    <pivotField showAll="0">
      <items count="7">
        <item x="4"/>
        <item x="1"/>
        <item x="2"/>
        <item x="0"/>
        <item x="3"/>
        <item x="5"/>
        <item t="default"/>
      </items>
    </pivotField>
    <pivotField numFmtId="164" showAll="0">
      <items count="80">
        <item x="11"/>
        <item x="7"/>
        <item x="22"/>
        <item x="51"/>
        <item x="5"/>
        <item x="50"/>
        <item x="23"/>
        <item x="40"/>
        <item x="66"/>
        <item x="46"/>
        <item x="75"/>
        <item x="59"/>
        <item x="44"/>
        <item x="67"/>
        <item x="61"/>
        <item x="49"/>
        <item x="54"/>
        <item x="14"/>
        <item x="0"/>
        <item x="55"/>
        <item x="39"/>
        <item x="16"/>
        <item x="74"/>
        <item x="1"/>
        <item x="30"/>
        <item x="71"/>
        <item x="78"/>
        <item x="73"/>
        <item x="68"/>
        <item x="19"/>
        <item x="34"/>
        <item x="69"/>
        <item x="60"/>
        <item x="38"/>
        <item x="20"/>
        <item x="25"/>
        <item x="37"/>
        <item x="57"/>
        <item x="28"/>
        <item x="43"/>
        <item x="48"/>
        <item x="33"/>
        <item x="6"/>
        <item x="18"/>
        <item x="17"/>
        <item x="65"/>
        <item x="29"/>
        <item x="52"/>
        <item x="21"/>
        <item x="27"/>
        <item x="24"/>
        <item x="13"/>
        <item x="63"/>
        <item x="15"/>
        <item x="76"/>
        <item x="53"/>
        <item x="70"/>
        <item x="64"/>
        <item x="58"/>
        <item x="32"/>
        <item x="2"/>
        <item x="72"/>
        <item x="31"/>
        <item x="10"/>
        <item x="3"/>
        <item x="62"/>
        <item x="4"/>
        <item x="45"/>
        <item x="56"/>
        <item x="47"/>
        <item x="77"/>
        <item x="26"/>
        <item x="41"/>
        <item x="12"/>
        <item x="8"/>
        <item x="9"/>
        <item x="36"/>
        <item x="42"/>
        <item x="35"/>
        <item t="default"/>
      </items>
    </pivotField>
    <pivotField numFmtId="164" showAll="0">
      <items count="89">
        <item x="7"/>
        <item x="23"/>
        <item x="11"/>
        <item x="52"/>
        <item x="5"/>
        <item x="79"/>
        <item x="24"/>
        <item x="42"/>
        <item x="48"/>
        <item x="67"/>
        <item x="84"/>
        <item x="60"/>
        <item x="46"/>
        <item x="81"/>
        <item x="68"/>
        <item x="51"/>
        <item x="62"/>
        <item x="0"/>
        <item x="54"/>
        <item x="65"/>
        <item x="15"/>
        <item x="73"/>
        <item x="55"/>
        <item x="83"/>
        <item x="17"/>
        <item x="33"/>
        <item x="32"/>
        <item x="75"/>
        <item x="1"/>
        <item x="78"/>
        <item x="82"/>
        <item x="87"/>
        <item x="70"/>
        <item x="20"/>
        <item x="37"/>
        <item x="72"/>
        <item x="61"/>
        <item x="41"/>
        <item x="21"/>
        <item x="27"/>
        <item x="40"/>
        <item x="58"/>
        <item x="31"/>
        <item x="45"/>
        <item x="49"/>
        <item x="76"/>
        <item x="36"/>
        <item x="69"/>
        <item x="6"/>
        <item x="25"/>
        <item x="19"/>
        <item x="18"/>
        <item x="66"/>
        <item x="22"/>
        <item x="53"/>
        <item x="30"/>
        <item x="50"/>
        <item x="26"/>
        <item x="14"/>
        <item x="64"/>
        <item x="80"/>
        <item x="85"/>
        <item x="71"/>
        <item x="16"/>
        <item x="74"/>
        <item x="59"/>
        <item x="35"/>
        <item x="2"/>
        <item x="77"/>
        <item x="56"/>
        <item x="34"/>
        <item x="28"/>
        <item x="10"/>
        <item x="12"/>
        <item x="63"/>
        <item x="3"/>
        <item x="4"/>
        <item x="47"/>
        <item x="57"/>
        <item x="29"/>
        <item x="86"/>
        <item x="43"/>
        <item x="13"/>
        <item x="8"/>
        <item x="9"/>
        <item x="39"/>
        <item x="44"/>
        <item x="38"/>
        <item t="default"/>
      </items>
    </pivotField>
    <pivotField dataField="1" showAll="0"/>
    <pivotField showAll="0" sortType="descending">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13"/>
    <field x="15"/>
  </rowFields>
  <rowItems count="13">
    <i>
      <x v="1"/>
    </i>
    <i>
      <x v="2"/>
    </i>
    <i>
      <x v="3"/>
    </i>
    <i>
      <x v="4"/>
    </i>
    <i>
      <x v="5"/>
    </i>
    <i>
      <x v="6"/>
    </i>
    <i>
      <x v="7"/>
    </i>
    <i>
      <x v="8"/>
    </i>
    <i>
      <x v="9"/>
    </i>
    <i>
      <x v="10"/>
    </i>
    <i>
      <x v="11"/>
    </i>
    <i>
      <x v="12"/>
    </i>
    <i t="grand">
      <x/>
    </i>
  </rowItems>
  <colItems count="1">
    <i/>
  </colItems>
  <dataFields count="1">
    <dataField name="Sum of Billing_amount" fld="9" baseField="0" baseItem="0" numFmtId="165"/>
  </dataFields>
  <formats count="5">
    <format dxfId="171">
      <pivotArea type="all" dataOnly="0" outline="0" fieldPosition="0"/>
    </format>
    <format dxfId="170">
      <pivotArea outline="0" collapsedLevelsAreSubtotals="1" fieldPosition="0"/>
    </format>
    <format dxfId="169">
      <pivotArea field="12" type="button" dataOnly="0" labelOnly="1" outline="0"/>
    </format>
    <format dxfId="168">
      <pivotArea dataOnly="0" labelOnly="1" grandRow="1" outline="0" fieldPosition="0"/>
    </format>
    <format dxfId="167">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3D6FAC-0CD1-4718-B2C9-078BCF4B4B7D}"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1:B13" firstHeaderRow="1" firstDataRow="1" firstDataCol="1"/>
  <pivotFields count="16">
    <pivotField showAll="0"/>
    <pivotField showAll="0"/>
    <pivotField showAll="0"/>
    <pivotField showAll="0"/>
    <pivotField showAll="0"/>
    <pivotField axis="axisRow" showAll="0">
      <items count="3">
        <item x="1"/>
        <item x="0"/>
        <item t="default"/>
      </items>
    </pivotField>
    <pivotField showAll="0">
      <items count="7">
        <item x="4"/>
        <item x="1"/>
        <item x="2"/>
        <item x="0"/>
        <item x="3"/>
        <item x="5"/>
        <item t="default"/>
      </items>
    </pivotField>
    <pivotField numFmtId="164" showAll="0">
      <items count="80">
        <item x="11"/>
        <item x="7"/>
        <item x="22"/>
        <item x="51"/>
        <item x="5"/>
        <item x="50"/>
        <item x="23"/>
        <item x="40"/>
        <item x="66"/>
        <item x="46"/>
        <item x="75"/>
        <item x="59"/>
        <item x="44"/>
        <item x="67"/>
        <item x="61"/>
        <item x="49"/>
        <item x="54"/>
        <item x="14"/>
        <item x="0"/>
        <item x="55"/>
        <item x="39"/>
        <item x="16"/>
        <item x="74"/>
        <item x="1"/>
        <item x="30"/>
        <item x="71"/>
        <item x="78"/>
        <item x="73"/>
        <item x="68"/>
        <item x="19"/>
        <item x="34"/>
        <item x="69"/>
        <item x="60"/>
        <item x="38"/>
        <item x="20"/>
        <item x="25"/>
        <item x="37"/>
        <item x="57"/>
        <item x="28"/>
        <item x="43"/>
        <item x="48"/>
        <item x="33"/>
        <item x="6"/>
        <item x="18"/>
        <item x="17"/>
        <item x="65"/>
        <item x="29"/>
        <item x="52"/>
        <item x="21"/>
        <item x="27"/>
        <item x="24"/>
        <item x="13"/>
        <item x="63"/>
        <item x="15"/>
        <item x="76"/>
        <item x="53"/>
        <item x="70"/>
        <item x="64"/>
        <item x="58"/>
        <item x="32"/>
        <item x="2"/>
        <item x="72"/>
        <item x="31"/>
        <item x="10"/>
        <item x="3"/>
        <item x="62"/>
        <item x="4"/>
        <item x="45"/>
        <item x="56"/>
        <item x="47"/>
        <item x="77"/>
        <item x="26"/>
        <item x="41"/>
        <item x="12"/>
        <item x="8"/>
        <item x="9"/>
        <item x="36"/>
        <item x="42"/>
        <item x="35"/>
        <item t="default"/>
      </items>
    </pivotField>
    <pivotField numFmtId="164" showAll="0">
      <items count="89">
        <item x="7"/>
        <item x="23"/>
        <item x="11"/>
        <item x="52"/>
        <item x="5"/>
        <item x="79"/>
        <item x="24"/>
        <item x="42"/>
        <item x="48"/>
        <item x="67"/>
        <item x="84"/>
        <item x="60"/>
        <item x="46"/>
        <item x="81"/>
        <item x="68"/>
        <item x="51"/>
        <item x="62"/>
        <item x="0"/>
        <item x="54"/>
        <item x="65"/>
        <item x="15"/>
        <item x="73"/>
        <item x="55"/>
        <item x="83"/>
        <item x="17"/>
        <item x="33"/>
        <item x="32"/>
        <item x="75"/>
        <item x="1"/>
        <item x="78"/>
        <item x="82"/>
        <item x="87"/>
        <item x="70"/>
        <item x="20"/>
        <item x="37"/>
        <item x="72"/>
        <item x="61"/>
        <item x="41"/>
        <item x="21"/>
        <item x="27"/>
        <item x="40"/>
        <item x="58"/>
        <item x="31"/>
        <item x="45"/>
        <item x="49"/>
        <item x="76"/>
        <item x="36"/>
        <item x="69"/>
        <item x="6"/>
        <item x="25"/>
        <item x="19"/>
        <item x="18"/>
        <item x="66"/>
        <item x="22"/>
        <item x="53"/>
        <item x="30"/>
        <item x="50"/>
        <item x="26"/>
        <item x="14"/>
        <item x="64"/>
        <item x="80"/>
        <item x="85"/>
        <item x="71"/>
        <item x="16"/>
        <item x="74"/>
        <item x="59"/>
        <item x="35"/>
        <item x="2"/>
        <item x="77"/>
        <item x="56"/>
        <item x="34"/>
        <item x="28"/>
        <item x="10"/>
        <item x="12"/>
        <item x="63"/>
        <item x="3"/>
        <item x="4"/>
        <item x="47"/>
        <item x="57"/>
        <item x="29"/>
        <item x="86"/>
        <item x="43"/>
        <item x="13"/>
        <item x="8"/>
        <item x="9"/>
        <item x="39"/>
        <item x="44"/>
        <item x="38"/>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2">
    <i>
      <x/>
    </i>
    <i>
      <x v="1"/>
    </i>
  </rowItems>
  <colItems count="1">
    <i/>
  </colItems>
  <dataFields count="1">
    <dataField name="Sum of Billing_amount" fld="9" showDataAs="percentOfTotal" baseField="5" baseItem="0" numFmtId="10"/>
  </dataFields>
  <formats count="2">
    <format dxfId="173">
      <pivotArea outline="0" collapsedLevelsAreSubtotals="1" fieldPosition="0"/>
    </format>
    <format dxfId="17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CD3E94-E15A-4050-8581-16666EE7608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6">
    <pivotField dataField="1" showAll="0"/>
    <pivotField showAll="0"/>
    <pivotField showAll="0"/>
    <pivotField showAll="0"/>
    <pivotField showAll="0"/>
    <pivotField showAll="0">
      <items count="3">
        <item x="1"/>
        <item x="0"/>
        <item t="default"/>
      </items>
    </pivotField>
    <pivotField showAll="0">
      <items count="7">
        <item x="4"/>
        <item x="1"/>
        <item x="2"/>
        <item x="0"/>
        <item x="3"/>
        <item x="5"/>
        <item t="default"/>
      </items>
    </pivotField>
    <pivotField numFmtId="164" showAll="0">
      <items count="80">
        <item x="11"/>
        <item x="7"/>
        <item x="22"/>
        <item x="51"/>
        <item x="5"/>
        <item x="50"/>
        <item x="23"/>
        <item x="40"/>
        <item x="66"/>
        <item x="46"/>
        <item x="75"/>
        <item x="59"/>
        <item x="44"/>
        <item x="67"/>
        <item x="61"/>
        <item x="49"/>
        <item x="54"/>
        <item x="14"/>
        <item x="0"/>
        <item x="55"/>
        <item x="39"/>
        <item x="16"/>
        <item x="74"/>
        <item x="1"/>
        <item x="30"/>
        <item x="71"/>
        <item x="78"/>
        <item x="73"/>
        <item x="68"/>
        <item x="19"/>
        <item x="34"/>
        <item x="69"/>
        <item x="60"/>
        <item x="38"/>
        <item x="20"/>
        <item x="25"/>
        <item x="37"/>
        <item x="57"/>
        <item x="28"/>
        <item x="43"/>
        <item x="48"/>
        <item x="33"/>
        <item x="6"/>
        <item x="18"/>
        <item x="17"/>
        <item x="65"/>
        <item x="29"/>
        <item x="52"/>
        <item x="21"/>
        <item x="27"/>
        <item x="24"/>
        <item x="13"/>
        <item x="63"/>
        <item x="15"/>
        <item x="76"/>
        <item x="53"/>
        <item x="70"/>
        <item x="64"/>
        <item x="58"/>
        <item x="32"/>
        <item x="2"/>
        <item x="72"/>
        <item x="31"/>
        <item x="10"/>
        <item x="3"/>
        <item x="62"/>
        <item x="4"/>
        <item x="45"/>
        <item x="56"/>
        <item x="47"/>
        <item x="77"/>
        <item x="26"/>
        <item x="41"/>
        <item x="12"/>
        <item x="8"/>
        <item x="9"/>
        <item x="36"/>
        <item x="42"/>
        <item x="35"/>
        <item t="default"/>
      </items>
    </pivotField>
    <pivotField numFmtId="164" showAll="0">
      <items count="89">
        <item x="7"/>
        <item x="23"/>
        <item x="11"/>
        <item x="52"/>
        <item x="5"/>
        <item x="79"/>
        <item x="24"/>
        <item x="42"/>
        <item x="48"/>
        <item x="67"/>
        <item x="84"/>
        <item x="60"/>
        <item x="46"/>
        <item x="81"/>
        <item x="68"/>
        <item x="51"/>
        <item x="62"/>
        <item x="0"/>
        <item x="54"/>
        <item x="65"/>
        <item x="15"/>
        <item x="73"/>
        <item x="55"/>
        <item x="83"/>
        <item x="17"/>
        <item x="33"/>
        <item x="32"/>
        <item x="75"/>
        <item x="1"/>
        <item x="78"/>
        <item x="82"/>
        <item x="87"/>
        <item x="70"/>
        <item x="20"/>
        <item x="37"/>
        <item x="72"/>
        <item x="61"/>
        <item x="41"/>
        <item x="21"/>
        <item x="27"/>
        <item x="40"/>
        <item x="58"/>
        <item x="31"/>
        <item x="45"/>
        <item x="49"/>
        <item x="76"/>
        <item x="36"/>
        <item x="69"/>
        <item x="6"/>
        <item x="25"/>
        <item x="19"/>
        <item x="18"/>
        <item x="66"/>
        <item x="22"/>
        <item x="53"/>
        <item x="30"/>
        <item x="50"/>
        <item x="26"/>
        <item x="14"/>
        <item x="64"/>
        <item x="80"/>
        <item x="85"/>
        <item x="71"/>
        <item x="16"/>
        <item x="74"/>
        <item x="59"/>
        <item x="35"/>
        <item x="2"/>
        <item x="77"/>
        <item x="56"/>
        <item x="34"/>
        <item x="28"/>
        <item x="10"/>
        <item x="12"/>
        <item x="63"/>
        <item x="3"/>
        <item x="4"/>
        <item x="47"/>
        <item x="57"/>
        <item x="29"/>
        <item x="86"/>
        <item x="43"/>
        <item x="13"/>
        <item x="8"/>
        <item x="9"/>
        <item x="39"/>
        <item x="44"/>
        <item x="3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Patient_id" fld="0" subtotal="count" baseField="0" baseItem="0"/>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4B73C0-626A-41DB-8A99-6B6F06E409B8}"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D42:E55" firstHeaderRow="1" firstDataRow="1" firstDataCol="1"/>
  <pivotFields count="16">
    <pivotField showAll="0"/>
    <pivotField showAll="0"/>
    <pivotField showAll="0"/>
    <pivotField showAll="0"/>
    <pivotField showAll="0"/>
    <pivotField showAll="0">
      <items count="3">
        <item x="1"/>
        <item x="0"/>
        <item t="default"/>
      </items>
    </pivotField>
    <pivotField showAll="0">
      <items count="7">
        <item x="4"/>
        <item x="1"/>
        <item x="2"/>
        <item x="0"/>
        <item x="3"/>
        <item x="5"/>
        <item t="default"/>
      </items>
    </pivotField>
    <pivotField numFmtId="164" showAll="0">
      <items count="80">
        <item x="11"/>
        <item x="7"/>
        <item x="22"/>
        <item x="51"/>
        <item x="5"/>
        <item x="50"/>
        <item x="23"/>
        <item x="40"/>
        <item x="66"/>
        <item x="46"/>
        <item x="75"/>
        <item x="59"/>
        <item x="44"/>
        <item x="67"/>
        <item x="61"/>
        <item x="49"/>
        <item x="54"/>
        <item x="14"/>
        <item x="0"/>
        <item x="55"/>
        <item x="39"/>
        <item x="16"/>
        <item x="74"/>
        <item x="1"/>
        <item x="30"/>
        <item x="71"/>
        <item x="78"/>
        <item x="73"/>
        <item x="68"/>
        <item x="19"/>
        <item x="34"/>
        <item x="69"/>
        <item x="60"/>
        <item x="38"/>
        <item x="20"/>
        <item x="25"/>
        <item x="37"/>
        <item x="57"/>
        <item x="28"/>
        <item x="43"/>
        <item x="48"/>
        <item x="33"/>
        <item x="6"/>
        <item x="18"/>
        <item x="17"/>
        <item x="65"/>
        <item x="29"/>
        <item x="52"/>
        <item x="21"/>
        <item x="27"/>
        <item x="24"/>
        <item x="13"/>
        <item x="63"/>
        <item x="15"/>
        <item x="76"/>
        <item x="53"/>
        <item x="70"/>
        <item x="64"/>
        <item x="58"/>
        <item x="32"/>
        <item x="2"/>
        <item x="72"/>
        <item x="31"/>
        <item x="10"/>
        <item x="3"/>
        <item x="62"/>
        <item x="4"/>
        <item x="45"/>
        <item x="56"/>
        <item x="47"/>
        <item x="77"/>
        <item x="26"/>
        <item x="41"/>
        <item x="12"/>
        <item x="8"/>
        <item x="9"/>
        <item x="36"/>
        <item x="42"/>
        <item x="35"/>
        <item t="default"/>
      </items>
    </pivotField>
    <pivotField numFmtId="164" showAll="0">
      <items count="89">
        <item x="7"/>
        <item x="23"/>
        <item x="11"/>
        <item x="52"/>
        <item x="5"/>
        <item x="79"/>
        <item x="24"/>
        <item x="42"/>
        <item x="48"/>
        <item x="67"/>
        <item x="84"/>
        <item x="60"/>
        <item x="46"/>
        <item x="81"/>
        <item x="68"/>
        <item x="51"/>
        <item x="62"/>
        <item x="0"/>
        <item x="54"/>
        <item x="65"/>
        <item x="15"/>
        <item x="73"/>
        <item x="55"/>
        <item x="83"/>
        <item x="17"/>
        <item x="33"/>
        <item x="32"/>
        <item x="75"/>
        <item x="1"/>
        <item x="78"/>
        <item x="82"/>
        <item x="87"/>
        <item x="70"/>
        <item x="20"/>
        <item x="37"/>
        <item x="72"/>
        <item x="61"/>
        <item x="41"/>
        <item x="21"/>
        <item x="27"/>
        <item x="40"/>
        <item x="58"/>
        <item x="31"/>
        <item x="45"/>
        <item x="49"/>
        <item x="76"/>
        <item x="36"/>
        <item x="69"/>
        <item x="6"/>
        <item x="25"/>
        <item x="19"/>
        <item x="18"/>
        <item x="66"/>
        <item x="22"/>
        <item x="53"/>
        <item x="30"/>
        <item x="50"/>
        <item x="26"/>
        <item x="14"/>
        <item x="64"/>
        <item x="80"/>
        <item x="85"/>
        <item x="71"/>
        <item x="16"/>
        <item x="74"/>
        <item x="59"/>
        <item x="35"/>
        <item x="2"/>
        <item x="77"/>
        <item x="56"/>
        <item x="34"/>
        <item x="28"/>
        <item x="10"/>
        <item x="12"/>
        <item x="63"/>
        <item x="3"/>
        <item x="4"/>
        <item x="47"/>
        <item x="57"/>
        <item x="29"/>
        <item x="86"/>
        <item x="43"/>
        <item x="13"/>
        <item x="8"/>
        <item x="9"/>
        <item x="39"/>
        <item x="44"/>
        <item x="38"/>
        <item t="default"/>
      </items>
    </pivotField>
    <pivotField dataField="1" showAll="0"/>
    <pivotField showAll="0" sortType="descending">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Billing_amount" fld="9" baseField="0" baseItem="0" numFmtId="165"/>
  </dataFields>
  <formats count="6">
    <format dxfId="180">
      <pivotArea type="all" dataOnly="0" outline="0" fieldPosition="0"/>
    </format>
    <format dxfId="179">
      <pivotArea outline="0" collapsedLevelsAreSubtotals="1" fieldPosition="0"/>
    </format>
    <format dxfId="178">
      <pivotArea field="12" type="button" dataOnly="0" labelOnly="1" outline="0" axis="axisRow" fieldPosition="0"/>
    </format>
    <format dxfId="177">
      <pivotArea dataOnly="0" labelOnly="1" fieldPosition="0">
        <references count="1">
          <reference field="12" count="12">
            <x v="1"/>
            <x v="2"/>
            <x v="3"/>
            <x v="4"/>
            <x v="5"/>
            <x v="6"/>
            <x v="7"/>
            <x v="8"/>
            <x v="9"/>
            <x v="10"/>
            <x v="11"/>
            <x v="12"/>
          </reference>
        </references>
      </pivotArea>
    </format>
    <format dxfId="176">
      <pivotArea dataOnly="0" labelOnly="1" grandRow="1" outline="0" fieldPosition="0"/>
    </format>
    <format dxfId="175">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BE0B47-2DF8-4ECF-A127-1A994C73807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pivotField showAll="0">
      <items count="3">
        <item x="1"/>
        <item x="0"/>
        <item t="default"/>
      </items>
    </pivotField>
    <pivotField showAll="0">
      <items count="7">
        <item x="4"/>
        <item x="1"/>
        <item x="2"/>
        <item x="0"/>
        <item x="3"/>
        <item x="5"/>
        <item t="default"/>
      </items>
    </pivotField>
    <pivotField numFmtId="164" showAll="0">
      <items count="80">
        <item x="11"/>
        <item x="7"/>
        <item x="22"/>
        <item x="51"/>
        <item x="5"/>
        <item x="50"/>
        <item x="23"/>
        <item x="40"/>
        <item x="66"/>
        <item x="46"/>
        <item x="75"/>
        <item x="59"/>
        <item x="44"/>
        <item x="67"/>
        <item x="61"/>
        <item x="49"/>
        <item x="54"/>
        <item x="14"/>
        <item x="0"/>
        <item x="55"/>
        <item x="39"/>
        <item x="16"/>
        <item x="74"/>
        <item x="1"/>
        <item x="30"/>
        <item x="71"/>
        <item x="78"/>
        <item x="73"/>
        <item x="68"/>
        <item x="19"/>
        <item x="34"/>
        <item x="69"/>
        <item x="60"/>
        <item x="38"/>
        <item x="20"/>
        <item x="25"/>
        <item x="37"/>
        <item x="57"/>
        <item x="28"/>
        <item x="43"/>
        <item x="48"/>
        <item x="33"/>
        <item x="6"/>
        <item x="18"/>
        <item x="17"/>
        <item x="65"/>
        <item x="29"/>
        <item x="52"/>
        <item x="21"/>
        <item x="27"/>
        <item x="24"/>
        <item x="13"/>
        <item x="63"/>
        <item x="15"/>
        <item x="76"/>
        <item x="53"/>
        <item x="70"/>
        <item x="64"/>
        <item x="58"/>
        <item x="32"/>
        <item x="2"/>
        <item x="72"/>
        <item x="31"/>
        <item x="10"/>
        <item x="3"/>
        <item x="62"/>
        <item x="4"/>
        <item x="45"/>
        <item x="56"/>
        <item x="47"/>
        <item x="77"/>
        <item x="26"/>
        <item x="41"/>
        <item x="12"/>
        <item x="8"/>
        <item x="9"/>
        <item x="36"/>
        <item x="42"/>
        <item x="35"/>
        <item t="default"/>
      </items>
    </pivotField>
    <pivotField numFmtId="164" showAll="0">
      <items count="89">
        <item x="7"/>
        <item x="23"/>
        <item x="11"/>
        <item x="52"/>
        <item x="5"/>
        <item x="79"/>
        <item x="24"/>
        <item x="42"/>
        <item x="48"/>
        <item x="67"/>
        <item x="84"/>
        <item x="60"/>
        <item x="46"/>
        <item x="81"/>
        <item x="68"/>
        <item x="51"/>
        <item x="62"/>
        <item x="0"/>
        <item x="54"/>
        <item x="65"/>
        <item x="15"/>
        <item x="73"/>
        <item x="55"/>
        <item x="83"/>
        <item x="17"/>
        <item x="33"/>
        <item x="32"/>
        <item x="75"/>
        <item x="1"/>
        <item x="78"/>
        <item x="82"/>
        <item x="87"/>
        <item x="70"/>
        <item x="20"/>
        <item x="37"/>
        <item x="72"/>
        <item x="61"/>
        <item x="41"/>
        <item x="21"/>
        <item x="27"/>
        <item x="40"/>
        <item x="58"/>
        <item x="31"/>
        <item x="45"/>
        <item x="49"/>
        <item x="76"/>
        <item x="36"/>
        <item x="69"/>
        <item x="6"/>
        <item x="25"/>
        <item x="19"/>
        <item x="18"/>
        <item x="66"/>
        <item x="22"/>
        <item x="53"/>
        <item x="30"/>
        <item x="50"/>
        <item x="26"/>
        <item x="14"/>
        <item x="64"/>
        <item x="80"/>
        <item x="85"/>
        <item x="71"/>
        <item x="16"/>
        <item x="74"/>
        <item x="59"/>
        <item x="35"/>
        <item x="2"/>
        <item x="77"/>
        <item x="56"/>
        <item x="34"/>
        <item x="28"/>
        <item x="10"/>
        <item x="12"/>
        <item x="63"/>
        <item x="3"/>
        <item x="4"/>
        <item x="47"/>
        <item x="57"/>
        <item x="29"/>
        <item x="86"/>
        <item x="43"/>
        <item x="13"/>
        <item x="8"/>
        <item x="9"/>
        <item x="39"/>
        <item x="44"/>
        <item x="38"/>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Billing_amount" fld="9" baseField="0" baseItem="0" numFmtId="167"/>
  </dataFields>
  <formats count="1">
    <format dxfId="1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17F966-B2C9-43F5-851D-C2C81BE25D15}"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28:E31" firstHeaderRow="1" firstDataRow="1" firstDataCol="1"/>
  <pivotFields count="16">
    <pivotField dataField="1" showAll="0"/>
    <pivotField showAll="0"/>
    <pivotField showAll="0"/>
    <pivotField showAll="0"/>
    <pivotField showAll="0"/>
    <pivotField showAll="0">
      <items count="3">
        <item x="1"/>
        <item x="0"/>
        <item t="default"/>
      </items>
    </pivotField>
    <pivotField showAll="0">
      <items count="7">
        <item x="4"/>
        <item x="1"/>
        <item x="2"/>
        <item x="0"/>
        <item x="3"/>
        <item x="5"/>
        <item t="default"/>
      </items>
    </pivotField>
    <pivotField numFmtId="164" showAll="0">
      <items count="80">
        <item x="11"/>
        <item x="7"/>
        <item x="22"/>
        <item x="51"/>
        <item x="5"/>
        <item x="50"/>
        <item x="23"/>
        <item x="40"/>
        <item x="66"/>
        <item x="46"/>
        <item x="75"/>
        <item x="59"/>
        <item x="44"/>
        <item x="67"/>
        <item x="61"/>
        <item x="49"/>
        <item x="54"/>
        <item x="14"/>
        <item x="0"/>
        <item x="55"/>
        <item x="39"/>
        <item x="16"/>
        <item x="74"/>
        <item x="1"/>
        <item x="30"/>
        <item x="71"/>
        <item x="78"/>
        <item x="73"/>
        <item x="68"/>
        <item x="19"/>
        <item x="34"/>
        <item x="69"/>
        <item x="60"/>
        <item x="38"/>
        <item x="20"/>
        <item x="25"/>
        <item x="37"/>
        <item x="57"/>
        <item x="28"/>
        <item x="43"/>
        <item x="48"/>
        <item x="33"/>
        <item x="6"/>
        <item x="18"/>
        <item x="17"/>
        <item x="65"/>
        <item x="29"/>
        <item x="52"/>
        <item x="21"/>
        <item x="27"/>
        <item x="24"/>
        <item x="13"/>
        <item x="63"/>
        <item x="15"/>
        <item x="76"/>
        <item x="53"/>
        <item x="70"/>
        <item x="64"/>
        <item x="58"/>
        <item x="32"/>
        <item x="2"/>
        <item x="72"/>
        <item x="31"/>
        <item x="10"/>
        <item x="3"/>
        <item x="62"/>
        <item x="4"/>
        <item x="45"/>
        <item x="56"/>
        <item x="47"/>
        <item x="77"/>
        <item x="26"/>
        <item x="41"/>
        <item x="12"/>
        <item x="8"/>
        <item x="9"/>
        <item x="36"/>
        <item x="42"/>
        <item x="35"/>
        <item t="default"/>
      </items>
    </pivotField>
    <pivotField numFmtId="164" showAll="0">
      <items count="89">
        <item x="7"/>
        <item x="23"/>
        <item x="11"/>
        <item x="52"/>
        <item x="5"/>
        <item x="79"/>
        <item x="24"/>
        <item x="42"/>
        <item x="48"/>
        <item x="67"/>
        <item x="84"/>
        <item x="60"/>
        <item x="46"/>
        <item x="81"/>
        <item x="68"/>
        <item x="51"/>
        <item x="62"/>
        <item x="0"/>
        <item x="54"/>
        <item x="65"/>
        <item x="15"/>
        <item x="73"/>
        <item x="55"/>
        <item x="83"/>
        <item x="17"/>
        <item x="33"/>
        <item x="32"/>
        <item x="75"/>
        <item x="1"/>
        <item x="78"/>
        <item x="82"/>
        <item x="87"/>
        <item x="70"/>
        <item x="20"/>
        <item x="37"/>
        <item x="72"/>
        <item x="61"/>
        <item x="41"/>
        <item x="21"/>
        <item x="27"/>
        <item x="40"/>
        <item x="58"/>
        <item x="31"/>
        <item x="45"/>
        <item x="49"/>
        <item x="76"/>
        <item x="36"/>
        <item x="69"/>
        <item x="6"/>
        <item x="25"/>
        <item x="19"/>
        <item x="18"/>
        <item x="66"/>
        <item x="22"/>
        <item x="53"/>
        <item x="30"/>
        <item x="50"/>
        <item x="26"/>
        <item x="14"/>
        <item x="64"/>
        <item x="80"/>
        <item x="85"/>
        <item x="71"/>
        <item x="16"/>
        <item x="74"/>
        <item x="59"/>
        <item x="35"/>
        <item x="2"/>
        <item x="77"/>
        <item x="56"/>
        <item x="34"/>
        <item x="28"/>
        <item x="10"/>
        <item x="12"/>
        <item x="63"/>
        <item x="3"/>
        <item x="4"/>
        <item x="47"/>
        <item x="57"/>
        <item x="29"/>
        <item x="86"/>
        <item x="43"/>
        <item x="13"/>
        <item x="8"/>
        <item x="9"/>
        <item x="39"/>
        <item x="44"/>
        <item x="38"/>
        <item t="default"/>
      </items>
    </pivotField>
    <pivotField showAll="0"/>
    <pivotField axis="axisRow" showAll="0" sortType="descending">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3">
    <i>
      <x/>
    </i>
    <i>
      <x v="1"/>
    </i>
    <i t="grand">
      <x/>
    </i>
  </rowItems>
  <colItems count="1">
    <i/>
  </colItems>
  <dataFields count="1">
    <dataField name="Count of Patient_id" fld="0" subtotal="count" baseField="0" baseItem="0"/>
  </dataFields>
  <formats count="6">
    <format dxfId="187">
      <pivotArea type="all" dataOnly="0" outline="0" fieldPosition="0"/>
    </format>
    <format dxfId="186">
      <pivotArea outline="0" collapsedLevelsAreSubtotals="1" fieldPosition="0"/>
    </format>
    <format dxfId="185">
      <pivotArea field="10" type="button" dataOnly="0" labelOnly="1" outline="0" axis="axisRow" fieldPosition="0"/>
    </format>
    <format dxfId="184">
      <pivotArea dataOnly="0" labelOnly="1" fieldPosition="0">
        <references count="1">
          <reference field="10" count="0"/>
        </references>
      </pivotArea>
    </format>
    <format dxfId="183">
      <pivotArea dataOnly="0" labelOnly="1" grandRow="1" outline="0" fieldPosition="0"/>
    </format>
    <format dxfId="182">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0" count="1" selected="0">
            <x v="0"/>
          </reference>
        </references>
      </pivotArea>
    </chartFormat>
    <chartFormat chart="5" format="6">
      <pivotArea type="data" outline="0" fieldPosition="0">
        <references count="2">
          <reference field="4294967294" count="1" selected="0">
            <x v="0"/>
          </reference>
          <reference field="10" count="1" selected="0">
            <x v="1"/>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C7326F-5933-4FAD-AF22-B9903575CC10}"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D14:E17" firstHeaderRow="1" firstDataRow="1" firstDataCol="1"/>
  <pivotFields count="16">
    <pivotField showAll="0"/>
    <pivotField showAll="0"/>
    <pivotField showAll="0"/>
    <pivotField showAll="0"/>
    <pivotField showAll="0"/>
    <pivotField axis="axisRow" showAll="0">
      <items count="3">
        <item x="1"/>
        <item x="0"/>
        <item t="default"/>
      </items>
    </pivotField>
    <pivotField showAll="0" sortType="descending">
      <items count="7">
        <item x="4"/>
        <item x="1"/>
        <item x="2"/>
        <item x="0"/>
        <item x="3"/>
        <item x="5"/>
        <item t="default"/>
      </items>
      <autoSortScope>
        <pivotArea dataOnly="0" outline="0" fieldPosition="0">
          <references count="1">
            <reference field="4294967294" count="1" selected="0">
              <x v="0"/>
            </reference>
          </references>
        </pivotArea>
      </autoSortScope>
    </pivotField>
    <pivotField numFmtId="164" showAll="0">
      <items count="80">
        <item x="11"/>
        <item x="7"/>
        <item x="22"/>
        <item x="51"/>
        <item x="5"/>
        <item x="50"/>
        <item x="23"/>
        <item x="40"/>
        <item x="66"/>
        <item x="46"/>
        <item x="75"/>
        <item x="59"/>
        <item x="44"/>
        <item x="67"/>
        <item x="61"/>
        <item x="49"/>
        <item x="54"/>
        <item x="14"/>
        <item x="0"/>
        <item x="55"/>
        <item x="39"/>
        <item x="16"/>
        <item x="74"/>
        <item x="1"/>
        <item x="30"/>
        <item x="71"/>
        <item x="78"/>
        <item x="73"/>
        <item x="68"/>
        <item x="19"/>
        <item x="34"/>
        <item x="69"/>
        <item x="60"/>
        <item x="38"/>
        <item x="20"/>
        <item x="25"/>
        <item x="37"/>
        <item x="57"/>
        <item x="28"/>
        <item x="43"/>
        <item x="48"/>
        <item x="33"/>
        <item x="6"/>
        <item x="18"/>
        <item x="17"/>
        <item x="65"/>
        <item x="29"/>
        <item x="52"/>
        <item x="21"/>
        <item x="27"/>
        <item x="24"/>
        <item x="13"/>
        <item x="63"/>
        <item x="15"/>
        <item x="76"/>
        <item x="53"/>
        <item x="70"/>
        <item x="64"/>
        <item x="58"/>
        <item x="32"/>
        <item x="2"/>
        <item x="72"/>
        <item x="31"/>
        <item x="10"/>
        <item x="3"/>
        <item x="62"/>
        <item x="4"/>
        <item x="45"/>
        <item x="56"/>
        <item x="47"/>
        <item x="77"/>
        <item x="26"/>
        <item x="41"/>
        <item x="12"/>
        <item x="8"/>
        <item x="9"/>
        <item x="36"/>
        <item x="42"/>
        <item x="35"/>
        <item t="default"/>
      </items>
    </pivotField>
    <pivotField numFmtId="164" showAll="0">
      <items count="89">
        <item x="7"/>
        <item x="23"/>
        <item x="11"/>
        <item x="52"/>
        <item x="5"/>
        <item x="79"/>
        <item x="24"/>
        <item x="42"/>
        <item x="48"/>
        <item x="67"/>
        <item x="84"/>
        <item x="60"/>
        <item x="46"/>
        <item x="81"/>
        <item x="68"/>
        <item x="51"/>
        <item x="62"/>
        <item x="0"/>
        <item x="54"/>
        <item x="65"/>
        <item x="15"/>
        <item x="73"/>
        <item x="55"/>
        <item x="83"/>
        <item x="17"/>
        <item x="33"/>
        <item x="32"/>
        <item x="75"/>
        <item x="1"/>
        <item x="78"/>
        <item x="82"/>
        <item x="87"/>
        <item x="70"/>
        <item x="20"/>
        <item x="37"/>
        <item x="72"/>
        <item x="61"/>
        <item x="41"/>
        <item x="21"/>
        <item x="27"/>
        <item x="40"/>
        <item x="58"/>
        <item x="31"/>
        <item x="45"/>
        <item x="49"/>
        <item x="76"/>
        <item x="36"/>
        <item x="69"/>
        <item x="6"/>
        <item x="25"/>
        <item x="19"/>
        <item x="18"/>
        <item x="66"/>
        <item x="22"/>
        <item x="53"/>
        <item x="30"/>
        <item x="50"/>
        <item x="26"/>
        <item x="14"/>
        <item x="64"/>
        <item x="80"/>
        <item x="85"/>
        <item x="71"/>
        <item x="16"/>
        <item x="74"/>
        <item x="59"/>
        <item x="35"/>
        <item x="2"/>
        <item x="77"/>
        <item x="56"/>
        <item x="34"/>
        <item x="28"/>
        <item x="10"/>
        <item x="12"/>
        <item x="63"/>
        <item x="3"/>
        <item x="4"/>
        <item x="47"/>
        <item x="57"/>
        <item x="29"/>
        <item x="86"/>
        <item x="43"/>
        <item x="13"/>
        <item x="8"/>
        <item x="9"/>
        <item x="39"/>
        <item x="44"/>
        <item x="38"/>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Sum of Billing_amount" fld="9" baseField="0" baseItem="0" numFmtId="165"/>
  </dataFields>
  <formats count="1">
    <format dxfId="18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62C119-2147-4BA7-B2F8-3D6875F49EAC}" name="PivotTable1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D93:K99" firstHeaderRow="1" firstDataRow="2" firstDataCol="1"/>
  <pivotFields count="16">
    <pivotField dataField="1"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axis="axisCol" showAll="0">
      <items count="7">
        <item x="4"/>
        <item x="1"/>
        <item x="2"/>
        <item x="0"/>
        <item x="3"/>
        <item x="5"/>
        <item t="default"/>
      </items>
    </pivotField>
    <pivotField numFmtId="164" showAll="0">
      <items count="80">
        <item x="11"/>
        <item x="7"/>
        <item x="22"/>
        <item x="51"/>
        <item x="5"/>
        <item x="50"/>
        <item x="23"/>
        <item x="40"/>
        <item x="66"/>
        <item x="46"/>
        <item x="75"/>
        <item x="59"/>
        <item x="44"/>
        <item x="67"/>
        <item x="61"/>
        <item x="49"/>
        <item x="54"/>
        <item x="14"/>
        <item x="0"/>
        <item x="55"/>
        <item x="39"/>
        <item x="16"/>
        <item x="74"/>
        <item x="1"/>
        <item x="30"/>
        <item x="71"/>
        <item x="78"/>
        <item x="73"/>
        <item x="68"/>
        <item x="19"/>
        <item x="34"/>
        <item x="69"/>
        <item x="60"/>
        <item x="38"/>
        <item x="20"/>
        <item x="25"/>
        <item x="37"/>
        <item x="57"/>
        <item x="28"/>
        <item x="43"/>
        <item x="48"/>
        <item x="33"/>
        <item x="6"/>
        <item x="18"/>
        <item x="17"/>
        <item x="65"/>
        <item x="29"/>
        <item x="52"/>
        <item x="21"/>
        <item x="27"/>
        <item x="24"/>
        <item x="13"/>
        <item x="63"/>
        <item x="15"/>
        <item x="76"/>
        <item x="53"/>
        <item x="70"/>
        <item x="64"/>
        <item x="58"/>
        <item x="32"/>
        <item x="2"/>
        <item x="72"/>
        <item x="31"/>
        <item x="10"/>
        <item x="3"/>
        <item x="62"/>
        <item x="4"/>
        <item x="45"/>
        <item x="56"/>
        <item x="47"/>
        <item x="77"/>
        <item x="26"/>
        <item x="41"/>
        <item x="12"/>
        <item x="8"/>
        <item x="9"/>
        <item x="36"/>
        <item x="42"/>
        <item x="35"/>
        <item t="default"/>
      </items>
    </pivotField>
    <pivotField numFmtId="164" showAll="0">
      <items count="89">
        <item x="7"/>
        <item x="23"/>
        <item x="11"/>
        <item x="52"/>
        <item x="5"/>
        <item x="79"/>
        <item x="24"/>
        <item x="42"/>
        <item x="48"/>
        <item x="67"/>
        <item x="84"/>
        <item x="60"/>
        <item x="46"/>
        <item x="81"/>
        <item x="68"/>
        <item x="51"/>
        <item x="62"/>
        <item x="0"/>
        <item x="54"/>
        <item x="65"/>
        <item x="15"/>
        <item x="73"/>
        <item x="55"/>
        <item x="83"/>
        <item x="17"/>
        <item x="33"/>
        <item x="32"/>
        <item x="75"/>
        <item x="1"/>
        <item x="78"/>
        <item x="82"/>
        <item x="87"/>
        <item x="70"/>
        <item x="20"/>
        <item x="37"/>
        <item x="72"/>
        <item x="61"/>
        <item x="41"/>
        <item x="21"/>
        <item x="27"/>
        <item x="40"/>
        <item x="58"/>
        <item x="31"/>
        <item x="45"/>
        <item x="49"/>
        <item x="76"/>
        <item x="36"/>
        <item x="69"/>
        <item x="6"/>
        <item x="25"/>
        <item x="19"/>
        <item x="18"/>
        <item x="66"/>
        <item x="22"/>
        <item x="53"/>
        <item x="30"/>
        <item x="50"/>
        <item x="26"/>
        <item x="14"/>
        <item x="64"/>
        <item x="80"/>
        <item x="85"/>
        <item x="71"/>
        <item x="16"/>
        <item x="74"/>
        <item x="59"/>
        <item x="35"/>
        <item x="2"/>
        <item x="77"/>
        <item x="56"/>
        <item x="34"/>
        <item x="28"/>
        <item x="10"/>
        <item x="12"/>
        <item x="63"/>
        <item x="3"/>
        <item x="4"/>
        <item x="47"/>
        <item x="57"/>
        <item x="29"/>
        <item x="86"/>
        <item x="43"/>
        <item x="13"/>
        <item x="8"/>
        <item x="9"/>
        <item x="39"/>
        <item x="44"/>
        <item x="38"/>
        <item t="default"/>
      </items>
    </pivotField>
    <pivotField showAll="0"/>
    <pivotField showAll="0" sortType="descending">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2"/>
    </i>
    <i>
      <x v="3"/>
    </i>
    <i>
      <x v="1"/>
    </i>
    <i t="grand">
      <x/>
    </i>
  </rowItems>
  <colFields count="1">
    <field x="6"/>
  </colFields>
  <colItems count="7">
    <i>
      <x/>
    </i>
    <i>
      <x v="1"/>
    </i>
    <i>
      <x v="2"/>
    </i>
    <i>
      <x v="3"/>
    </i>
    <i>
      <x v="4"/>
    </i>
    <i>
      <x v="5"/>
    </i>
    <i t="grand">
      <x/>
    </i>
  </colItems>
  <dataFields count="1">
    <dataField name="Count of Patient_id" fld="0" subtotal="count" baseField="0" baseItem="0"/>
  </dataFields>
  <formats count="5">
    <format dxfId="193">
      <pivotArea type="all" dataOnly="0" outline="0" fieldPosition="0"/>
    </format>
    <format dxfId="192">
      <pivotArea outline="0" collapsedLevelsAreSubtotals="1" fieldPosition="0"/>
    </format>
    <format dxfId="191">
      <pivotArea field="10" type="button" dataOnly="0" labelOnly="1" outline="0"/>
    </format>
    <format dxfId="190">
      <pivotArea dataOnly="0" labelOnly="1" grandRow="1" outline="0" fieldPosition="0"/>
    </format>
    <format dxfId="189">
      <pivotArea dataOnly="0" labelOnly="1" outline="0" axis="axisValues" fieldPosition="0"/>
    </format>
  </formats>
  <chartFormats count="14">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2"/>
          </reference>
        </references>
      </pivotArea>
    </chartFormat>
    <chartFormat chart="6" format="3" series="1">
      <pivotArea type="data" outline="0" fieldPosition="0">
        <references count="2">
          <reference field="4294967294" count="1" selected="0">
            <x v="0"/>
          </reference>
          <reference field="6" count="1" selected="0">
            <x v="3"/>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 chart="6" format="5" series="1">
      <pivotArea type="data" outline="0" fieldPosition="0">
        <references count="2">
          <reference field="4294967294" count="1" selected="0">
            <x v="0"/>
          </reference>
          <reference field="6" count="1" selected="0">
            <x v="5"/>
          </reference>
        </references>
      </pivotArea>
    </chartFormat>
    <chartFormat chart="9" format="12" series="1">
      <pivotArea type="data" outline="0" fieldPosition="0">
        <references count="2">
          <reference field="4294967294" count="1" selected="0">
            <x v="0"/>
          </reference>
          <reference field="6" count="1" selected="0">
            <x v="0"/>
          </reference>
        </references>
      </pivotArea>
    </chartFormat>
    <chartFormat chart="9" format="13" series="1">
      <pivotArea type="data" outline="0" fieldPosition="0">
        <references count="2">
          <reference field="4294967294" count="1" selected="0">
            <x v="0"/>
          </reference>
          <reference field="6" count="1" selected="0">
            <x v="1"/>
          </reference>
        </references>
      </pivotArea>
    </chartFormat>
    <chartFormat chart="9" format="14" series="1">
      <pivotArea type="data" outline="0" fieldPosition="0">
        <references count="2">
          <reference field="4294967294" count="1" selected="0">
            <x v="0"/>
          </reference>
          <reference field="6" count="1" selected="0">
            <x v="2"/>
          </reference>
        </references>
      </pivotArea>
    </chartFormat>
    <chartFormat chart="9" format="15" series="1">
      <pivotArea type="data" outline="0" fieldPosition="0">
        <references count="2">
          <reference field="4294967294" count="1" selected="0">
            <x v="0"/>
          </reference>
          <reference field="6" count="1" selected="0">
            <x v="3"/>
          </reference>
        </references>
      </pivotArea>
    </chartFormat>
    <chartFormat chart="9" format="16" series="1">
      <pivotArea type="data" outline="0" fieldPosition="0">
        <references count="2">
          <reference field="4294967294" count="1" selected="0">
            <x v="0"/>
          </reference>
          <reference field="6" count="1" selected="0">
            <x v="4"/>
          </reference>
        </references>
      </pivotArea>
    </chartFormat>
    <chartFormat chart="9" format="17"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2401E2-38F8-4231-A437-B3BE3D9D9B93}" autoFormatId="16" applyNumberFormats="0" applyBorderFormats="0" applyFontFormats="0" applyPatternFormats="0" applyAlignmentFormats="0" applyWidthHeightFormats="0">
  <queryTableRefresh nextId="16">
    <queryTableFields count="11">
      <queryTableField id="1" name="Patient_id" tableColumnId="1"/>
      <queryTableField id="2" name="Row_id" tableColumnId="2"/>
      <queryTableField id="3" name="Age " tableColumnId="3"/>
      <queryTableField id="15" dataBound="0" tableColumnId="10"/>
      <queryTableField id="4" name="Age_issue_flag" tableColumnId="4"/>
      <queryTableField id="5" name="Gender" tableColumnId="5"/>
      <queryTableField id="6" name="Diagnosis" tableColumnId="6"/>
      <queryTableField id="7" name="Admission_date" tableColumnId="7"/>
      <queryTableField id="8" name=" Discharge_date" tableColumnId="8"/>
      <queryTableField id="9" name="Billing_amount" tableColumnId="9"/>
      <queryTableField id="13" name="Billing_flag" tableColumnId="12"/>
    </queryTableFields>
    <queryTableDeletedFields count="1">
      <deletedField name="Month_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77769DF-0255-4FC4-BD1A-217332BFEDA8}" sourceName="Gender">
  <pivotTables>
    <pivotTable tabId="7" name="PivotTable15"/>
    <pivotTable tabId="7" name="PivotTable1"/>
    <pivotTable tabId="7" name="PivotTable11"/>
    <pivotTable tabId="7" name="PivotTable12"/>
    <pivotTable tabId="7" name="PivotTable13"/>
    <pivotTable tabId="7" name="PivotTable14"/>
    <pivotTable tabId="7" name="PivotTable5"/>
    <pivotTable tabId="7" name="PivotTable8"/>
    <pivotTable tabId="7" name="PivotTable9"/>
  </pivotTables>
  <data>
    <tabular pivotCacheId="17850629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1" xr10:uid="{62CCAE6B-9863-4608-9B3E-62DF7840C807}" sourceName="Diagnosis">
  <pivotTables>
    <pivotTable tabId="7" name="PivotTable15"/>
    <pivotTable tabId="7" name="PivotTable1"/>
    <pivotTable tabId="7" name="PivotTable11"/>
    <pivotTable tabId="7" name="PivotTable12"/>
    <pivotTable tabId="7" name="PivotTable13"/>
    <pivotTable tabId="7" name="PivotTable14"/>
    <pivotTable tabId="7" name="PivotTable5"/>
    <pivotTable tabId="7" name="PivotTable6"/>
    <pivotTable tabId="7" name="PivotTable8"/>
    <pivotTable tabId="7" name="PivotTable9"/>
  </pivotTables>
  <data>
    <tabular pivotCacheId="178506290">
      <items count="6">
        <i x="4" s="1"/>
        <i x="1" s="1"/>
        <i x="2" s="1"/>
        <i x="0"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AFA93E2-5550-4EAC-B817-7435B90F50B6}" cache="Slicer_Gender1" caption="Gender" rowHeight="241300"/>
  <slicer name="Diagnosis 2" xr10:uid="{7B6FDA46-DD25-4300-AECC-79DBAA10C17C}" cache="Slicer_Diagnosis1" caption="Diagnosi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1445F223-F982-434B-B67F-9F6B7E7D6A7F}" cache="Slicer_Gender1" caption="Gender" style="Slicer Style 1" rowHeight="182880"/>
  <slicer name="Diagnosis 3" xr10:uid="{2D4BC522-0EF0-42B3-9946-9245D1E43236}" cache="Slicer_Diagnosis1" caption="Diagnosis" columnCount="3" style="Slicer Style 1" rowHeight="18288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C539B7-8EB1-4937-AF6D-3B481B3C8DB7}" name="Table1" displayName="Table1" ref="A1:K102" totalsRowCount="1">
  <autoFilter ref="A1:K101" xr:uid="{EAC539B7-8EB1-4937-AF6D-3B481B3C8DB7}"/>
  <sortState xmlns:xlrd2="http://schemas.microsoft.com/office/spreadsheetml/2017/richdata2" ref="A2:J101">
    <sortCondition ref="B2:B101"/>
  </sortState>
  <tableColumns count="11">
    <tableColumn id="1" xr3:uid="{A1D7BDE0-80E8-4208-834F-30AC9A37BDFB}" name="Patient_id"/>
    <tableColumn id="14" xr3:uid="{C317A69E-3A0A-4B12-A371-2FADDBDD8E90}" name="Row_id"/>
    <tableColumn id="2" xr3:uid="{9238CA71-371A-42D0-980E-3DC621B6EC9E}" name="Age "/>
    <tableColumn id="9" xr3:uid="{353CD6D1-9637-49C6-B7BB-14B50FDD0345}" name="Age_group" dataDxfId="214">
      <calculatedColumnFormula>IF(C2="Missing","Unknown",
IF(C2&lt;=18,"0-18",
IF(C2&lt;=35,"19-35",
IF(C2&lt;=55,"36-55","56+"))))</calculatedColumnFormula>
    </tableColumn>
    <tableColumn id="12" xr3:uid="{F813262F-8619-4B45-942B-27F677DD7B16}" name="Age_issue_flag" dataDxfId="213">
      <calculatedColumnFormula>IF(C2="", "Missing", IF(C2&lt;5, "Check", "Ok"))</calculatedColumnFormula>
    </tableColumn>
    <tableColumn id="3" xr3:uid="{1E891C11-59E7-441A-8D40-9EBA14F0EBC5}" name="Gender"/>
    <tableColumn id="4" xr3:uid="{A3F5B9E7-BAD2-4C25-80FA-D99F0C47A50D}" name="Diagnosis"/>
    <tableColumn id="5" xr3:uid="{E992E081-0331-4718-A1A5-63DB31D91038}" name="Admission_date" dataDxfId="212" totalsRowDxfId="211"/>
    <tableColumn id="6" xr3:uid="{2895B1E4-FD66-4375-AE68-DCCEA39994EF}" name=" Discharge_date" dataDxfId="210" totalsRowDxfId="209"/>
    <tableColumn id="7" xr3:uid="{BE30903C-04D6-4C6B-8537-CE19D34503A5}" name="Billing_amount" totalsRowFunction="sum" dataDxfId="208" totalsRowDxfId="207"/>
    <tableColumn id="8" xr3:uid="{BACFB84A-5902-4AD1-993D-F75B6489B16D}" name="Billing_flag" dataDxfId="206" totalsRowDxfId="205">
      <calculatedColumnFormula>IF(J2="","missing","ok")</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99801E-EBEE-465C-8C42-6933BC082EDB}" name="Table1_1" displayName="Table1_1" ref="A1:K103" tableType="queryTable" totalsRowCount="1">
  <autoFilter ref="A1:K102" xr:uid="{1699801E-EBEE-465C-8C42-6933BC082EDB}"/>
  <tableColumns count="11">
    <tableColumn id="1" xr3:uid="{5F7D885A-6209-4588-9A53-E224492609F3}" uniqueName="1" name="Patient_id" queryTableFieldId="1" dataDxfId="204"/>
    <tableColumn id="2" xr3:uid="{1EBA3117-72F0-4DAD-965E-E28184ABA213}" uniqueName="2" name="Row_id" queryTableFieldId="2"/>
    <tableColumn id="3" xr3:uid="{F6B7E0DE-4E43-49AE-902F-D4F841898F01}" uniqueName="3" name="Age " queryTableFieldId="3"/>
    <tableColumn id="10" xr3:uid="{0B87531D-3BA8-4EBA-BBEA-3193777A2684}" uniqueName="10" name="Age_group" queryTableFieldId="15" dataDxfId="203">
      <calculatedColumnFormula>IF(C2="Missing","Unknown",
IF(C2&lt;=18,"0-18",
IF(C2&lt;=35,"19-35",
IF(C2&lt;=55,"36-55","56+"))))</calculatedColumnFormula>
    </tableColumn>
    <tableColumn id="4" xr3:uid="{9612452F-C6C1-48DC-8BE0-FE3A4800C58A}" uniqueName="4" name="Age_issue_flag" queryTableFieldId="4" dataDxfId="202"/>
    <tableColumn id="5" xr3:uid="{8B8D4675-3FA1-4643-B875-94FAC2D938DC}" uniqueName="5" name="Gender" queryTableFieldId="5" dataDxfId="201"/>
    <tableColumn id="6" xr3:uid="{BB3DF16B-7237-4159-BE92-39DE798BB04D}" uniqueName="6" name="Diagnosis" queryTableFieldId="6" dataDxfId="200"/>
    <tableColumn id="7" xr3:uid="{05079897-B943-4477-99E8-73982BF6AA9F}" uniqueName="7" name="Admission_date" queryTableFieldId="7" dataDxfId="199" totalsRowDxfId="198"/>
    <tableColumn id="8" xr3:uid="{BAED6312-4EA8-4627-9103-38E0C4B20931}" uniqueName="8" name=" Discharge_date" queryTableFieldId="8" dataDxfId="197" totalsRowDxfId="196"/>
    <tableColumn id="9" xr3:uid="{6BED67D9-B9F7-4D3A-8C01-143F6C540CCD}" uniqueName="9" name="Billing_amount" totalsRowFunction="sum" queryTableFieldId="9" dataDxfId="195" totalsRowDxfId="194"/>
    <tableColumn id="12" xr3:uid="{5660CB0F-F8E3-4B81-B51B-2FB46434F404}" uniqueName="12" name="Billing_flag"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workbookViewId="0">
      <selection activeCell="F9" sqref="F9"/>
    </sheetView>
  </sheetViews>
  <sheetFormatPr defaultRowHeight="15" x14ac:dyDescent="0.25"/>
  <cols>
    <col min="1" max="1" width="10.140625" bestFit="1" customWidth="1"/>
    <col min="2" max="2" width="4.85546875" bestFit="1" customWidth="1"/>
    <col min="3" max="3" width="7.85546875" bestFit="1" customWidth="1"/>
    <col min="4" max="4" width="13.140625" bestFit="1" customWidth="1"/>
    <col min="5" max="6" width="18.28515625" bestFit="1" customWidth="1"/>
    <col min="7" max="7" width="14.5703125" bestFit="1" customWidth="1"/>
  </cols>
  <sheetData>
    <row r="1" spans="1:7" x14ac:dyDescent="0.25">
      <c r="A1" t="s">
        <v>0</v>
      </c>
      <c r="B1" t="s">
        <v>1</v>
      </c>
      <c r="C1" t="s">
        <v>2</v>
      </c>
      <c r="D1" t="s">
        <v>3</v>
      </c>
      <c r="E1" t="s">
        <v>4</v>
      </c>
      <c r="F1" t="s">
        <v>5</v>
      </c>
      <c r="G1" t="s">
        <v>6</v>
      </c>
    </row>
    <row r="2" spans="1:7" x14ac:dyDescent="0.25">
      <c r="A2" t="s">
        <v>7</v>
      </c>
      <c r="B2">
        <v>44</v>
      </c>
      <c r="C2" t="s">
        <v>8</v>
      </c>
      <c r="D2" t="s">
        <v>9</v>
      </c>
      <c r="E2" t="s">
        <v>10</v>
      </c>
      <c r="F2" t="s">
        <v>11</v>
      </c>
      <c r="G2">
        <v>49170.05</v>
      </c>
    </row>
    <row r="3" spans="1:7" x14ac:dyDescent="0.25">
      <c r="A3" t="s">
        <v>12</v>
      </c>
      <c r="C3" t="s">
        <v>13</v>
      </c>
      <c r="D3" t="s">
        <v>14</v>
      </c>
      <c r="E3" t="s">
        <v>15</v>
      </c>
      <c r="F3" t="s">
        <v>16</v>
      </c>
      <c r="G3">
        <v>45778.51</v>
      </c>
    </row>
    <row r="4" spans="1:7" x14ac:dyDescent="0.25">
      <c r="A4" t="s">
        <v>17</v>
      </c>
      <c r="C4" t="s">
        <v>13</v>
      </c>
      <c r="D4" t="s">
        <v>9</v>
      </c>
      <c r="E4" t="s">
        <v>18</v>
      </c>
      <c r="F4" t="s">
        <v>19</v>
      </c>
      <c r="G4" t="s">
        <v>20</v>
      </c>
    </row>
    <row r="5" spans="1:7" x14ac:dyDescent="0.25">
      <c r="A5" t="s">
        <v>21</v>
      </c>
      <c r="C5" t="s">
        <v>8</v>
      </c>
      <c r="D5" t="s">
        <v>14</v>
      </c>
      <c r="E5" t="s">
        <v>22</v>
      </c>
      <c r="F5" t="s">
        <v>23</v>
      </c>
      <c r="G5">
        <v>46813.33</v>
      </c>
    </row>
    <row r="6" spans="1:7" x14ac:dyDescent="0.25">
      <c r="A6" t="s">
        <v>24</v>
      </c>
      <c r="B6">
        <v>67</v>
      </c>
      <c r="C6" t="s">
        <v>13</v>
      </c>
      <c r="D6" t="s">
        <v>25</v>
      </c>
      <c r="E6" t="s">
        <v>26</v>
      </c>
      <c r="F6" t="s">
        <v>27</v>
      </c>
      <c r="G6">
        <v>41900.15</v>
      </c>
    </row>
    <row r="7" spans="1:7" x14ac:dyDescent="0.25">
      <c r="A7" t="s">
        <v>28</v>
      </c>
      <c r="C7" t="s">
        <v>29</v>
      </c>
      <c r="D7" t="s">
        <v>9</v>
      </c>
      <c r="E7" t="s">
        <v>30</v>
      </c>
      <c r="F7" t="s">
        <v>249</v>
      </c>
      <c r="G7">
        <v>48117.72</v>
      </c>
    </row>
    <row r="8" spans="1:7" x14ac:dyDescent="0.25">
      <c r="A8" t="s">
        <v>32</v>
      </c>
      <c r="B8">
        <v>29</v>
      </c>
      <c r="C8" t="s">
        <v>29</v>
      </c>
      <c r="D8" t="s">
        <v>9</v>
      </c>
      <c r="E8" t="s">
        <v>33</v>
      </c>
      <c r="F8" t="s">
        <v>34</v>
      </c>
    </row>
    <row r="9" spans="1:7" x14ac:dyDescent="0.25">
      <c r="A9" t="s">
        <v>35</v>
      </c>
      <c r="C9" t="s">
        <v>36</v>
      </c>
      <c r="D9" t="s">
        <v>37</v>
      </c>
      <c r="E9" t="s">
        <v>38</v>
      </c>
      <c r="F9" t="s">
        <v>39</v>
      </c>
      <c r="G9">
        <v>6379.39</v>
      </c>
    </row>
    <row r="10" spans="1:7" x14ac:dyDescent="0.25">
      <c r="A10" t="s">
        <v>40</v>
      </c>
      <c r="B10">
        <v>1</v>
      </c>
      <c r="C10" t="s">
        <v>41</v>
      </c>
      <c r="D10" t="s">
        <v>14</v>
      </c>
      <c r="E10" t="s">
        <v>42</v>
      </c>
      <c r="F10" t="s">
        <v>43</v>
      </c>
      <c r="G10" t="s">
        <v>20</v>
      </c>
    </row>
    <row r="11" spans="1:7" x14ac:dyDescent="0.25">
      <c r="A11" t="s">
        <v>44</v>
      </c>
      <c r="C11" t="s">
        <v>41</v>
      </c>
      <c r="D11" t="s">
        <v>45</v>
      </c>
      <c r="E11" t="s">
        <v>46</v>
      </c>
      <c r="F11" t="s">
        <v>47</v>
      </c>
      <c r="G11">
        <v>21753.77</v>
      </c>
    </row>
    <row r="12" spans="1:7" x14ac:dyDescent="0.25">
      <c r="A12" t="s">
        <v>48</v>
      </c>
      <c r="C12" t="s">
        <v>29</v>
      </c>
      <c r="D12" t="s">
        <v>45</v>
      </c>
      <c r="E12" t="s">
        <v>49</v>
      </c>
      <c r="F12" t="s">
        <v>50</v>
      </c>
      <c r="G12" t="s">
        <v>20</v>
      </c>
    </row>
    <row r="13" spans="1:7" x14ac:dyDescent="0.25">
      <c r="A13" t="s">
        <v>35</v>
      </c>
      <c r="B13">
        <v>52</v>
      </c>
      <c r="C13" t="s">
        <v>29</v>
      </c>
      <c r="D13" t="s">
        <v>51</v>
      </c>
      <c r="E13" t="s">
        <v>52</v>
      </c>
      <c r="F13" t="s">
        <v>53</v>
      </c>
      <c r="G13" t="s">
        <v>20</v>
      </c>
    </row>
    <row r="14" spans="1:7" x14ac:dyDescent="0.25">
      <c r="A14" t="s">
        <v>54</v>
      </c>
      <c r="C14" t="s">
        <v>55</v>
      </c>
      <c r="D14" t="s">
        <v>14</v>
      </c>
      <c r="E14" t="s">
        <v>56</v>
      </c>
      <c r="F14" t="s">
        <v>57</v>
      </c>
      <c r="G14">
        <v>20798.8</v>
      </c>
    </row>
    <row r="15" spans="1:7" x14ac:dyDescent="0.25">
      <c r="A15" t="s">
        <v>58</v>
      </c>
      <c r="B15">
        <v>46</v>
      </c>
      <c r="C15" t="s">
        <v>36</v>
      </c>
      <c r="D15" t="s">
        <v>25</v>
      </c>
      <c r="E15" t="s">
        <v>59</v>
      </c>
      <c r="F15" t="s">
        <v>60</v>
      </c>
      <c r="G15">
        <v>42050.51</v>
      </c>
    </row>
    <row r="16" spans="1:7" x14ac:dyDescent="0.25">
      <c r="A16" t="s">
        <v>28</v>
      </c>
      <c r="C16" t="s">
        <v>13</v>
      </c>
      <c r="D16" t="s">
        <v>51</v>
      </c>
      <c r="E16" t="s">
        <v>61</v>
      </c>
      <c r="F16" t="s">
        <v>62</v>
      </c>
    </row>
    <row r="17" spans="1:7" x14ac:dyDescent="0.25">
      <c r="A17" t="s">
        <v>63</v>
      </c>
      <c r="B17">
        <v>36</v>
      </c>
      <c r="C17" t="s">
        <v>36</v>
      </c>
      <c r="D17" t="s">
        <v>9</v>
      </c>
      <c r="E17" t="s">
        <v>64</v>
      </c>
      <c r="F17" t="s">
        <v>65</v>
      </c>
    </row>
    <row r="18" spans="1:7" x14ac:dyDescent="0.25">
      <c r="A18" t="s">
        <v>66</v>
      </c>
      <c r="C18" t="s">
        <v>36</v>
      </c>
      <c r="E18" t="s">
        <v>67</v>
      </c>
      <c r="F18" t="s">
        <v>68</v>
      </c>
      <c r="G18" t="s">
        <v>20</v>
      </c>
    </row>
    <row r="19" spans="1:7" x14ac:dyDescent="0.25">
      <c r="A19" t="s">
        <v>69</v>
      </c>
      <c r="C19" t="s">
        <v>13</v>
      </c>
      <c r="D19" t="s">
        <v>51</v>
      </c>
      <c r="E19" t="s">
        <v>70</v>
      </c>
      <c r="F19" t="s">
        <v>71</v>
      </c>
      <c r="G19">
        <v>21821.73</v>
      </c>
    </row>
    <row r="20" spans="1:7" x14ac:dyDescent="0.25">
      <c r="A20" t="s">
        <v>72</v>
      </c>
      <c r="C20" t="s">
        <v>55</v>
      </c>
      <c r="D20" t="s">
        <v>45</v>
      </c>
      <c r="E20" t="s">
        <v>73</v>
      </c>
      <c r="F20" t="s">
        <v>74</v>
      </c>
    </row>
    <row r="21" spans="1:7" x14ac:dyDescent="0.25">
      <c r="A21" t="s">
        <v>75</v>
      </c>
      <c r="B21">
        <v>37</v>
      </c>
      <c r="C21" t="s">
        <v>29</v>
      </c>
      <c r="D21" t="s">
        <v>51</v>
      </c>
      <c r="E21" t="s">
        <v>76</v>
      </c>
      <c r="F21" t="s">
        <v>77</v>
      </c>
      <c r="G21">
        <v>42656.07</v>
      </c>
    </row>
    <row r="22" spans="1:7" x14ac:dyDescent="0.25">
      <c r="A22" t="s">
        <v>78</v>
      </c>
      <c r="B22">
        <v>78</v>
      </c>
      <c r="C22" t="s">
        <v>41</v>
      </c>
      <c r="E22" t="s">
        <v>79</v>
      </c>
      <c r="F22" t="s">
        <v>80</v>
      </c>
      <c r="G22" t="s">
        <v>20</v>
      </c>
    </row>
    <row r="23" spans="1:7" x14ac:dyDescent="0.25">
      <c r="A23" t="s">
        <v>40</v>
      </c>
      <c r="C23" t="s">
        <v>8</v>
      </c>
      <c r="D23" t="s">
        <v>25</v>
      </c>
      <c r="E23" t="s">
        <v>81</v>
      </c>
      <c r="F23" t="s">
        <v>82</v>
      </c>
    </row>
    <row r="24" spans="1:7" x14ac:dyDescent="0.25">
      <c r="A24" t="s">
        <v>83</v>
      </c>
      <c r="B24">
        <v>40</v>
      </c>
      <c r="C24" t="s">
        <v>41</v>
      </c>
      <c r="D24" t="s">
        <v>25</v>
      </c>
      <c r="E24" t="s">
        <v>84</v>
      </c>
      <c r="F24" t="s">
        <v>85</v>
      </c>
    </row>
    <row r="25" spans="1:7" x14ac:dyDescent="0.25">
      <c r="A25" t="s">
        <v>86</v>
      </c>
      <c r="C25" t="s">
        <v>8</v>
      </c>
      <c r="D25" t="s">
        <v>51</v>
      </c>
      <c r="E25" t="s">
        <v>87</v>
      </c>
      <c r="F25" t="s">
        <v>88</v>
      </c>
      <c r="G25">
        <v>17002.009999999998</v>
      </c>
    </row>
    <row r="26" spans="1:7" x14ac:dyDescent="0.25">
      <c r="A26" t="s">
        <v>89</v>
      </c>
      <c r="B26">
        <v>23</v>
      </c>
      <c r="C26" t="s">
        <v>8</v>
      </c>
      <c r="E26" t="s">
        <v>90</v>
      </c>
      <c r="F26" t="s">
        <v>91</v>
      </c>
    </row>
    <row r="27" spans="1:7" x14ac:dyDescent="0.25">
      <c r="A27" t="s">
        <v>12</v>
      </c>
      <c r="C27" t="s">
        <v>36</v>
      </c>
      <c r="D27" t="s">
        <v>14</v>
      </c>
      <c r="E27" t="s">
        <v>92</v>
      </c>
      <c r="F27" t="s">
        <v>93</v>
      </c>
      <c r="G27" t="s">
        <v>20</v>
      </c>
    </row>
    <row r="28" spans="1:7" x14ac:dyDescent="0.25">
      <c r="A28" t="s">
        <v>17</v>
      </c>
      <c r="C28" t="s">
        <v>41</v>
      </c>
      <c r="D28" t="s">
        <v>14</v>
      </c>
      <c r="E28" t="s">
        <v>94</v>
      </c>
      <c r="F28" t="s">
        <v>95</v>
      </c>
      <c r="G28" t="s">
        <v>20</v>
      </c>
    </row>
    <row r="29" spans="1:7" x14ac:dyDescent="0.25">
      <c r="A29" t="s">
        <v>96</v>
      </c>
      <c r="B29">
        <v>71</v>
      </c>
      <c r="C29" t="s">
        <v>41</v>
      </c>
      <c r="D29" t="s">
        <v>14</v>
      </c>
      <c r="E29" t="s">
        <v>97</v>
      </c>
      <c r="F29" t="s">
        <v>98</v>
      </c>
      <c r="G29" t="s">
        <v>20</v>
      </c>
    </row>
    <row r="30" spans="1:7" x14ac:dyDescent="0.25">
      <c r="A30" t="s">
        <v>99</v>
      </c>
      <c r="C30" t="s">
        <v>36</v>
      </c>
      <c r="D30" t="s">
        <v>45</v>
      </c>
      <c r="E30" t="s">
        <v>100</v>
      </c>
      <c r="F30" t="s">
        <v>101</v>
      </c>
    </row>
    <row r="31" spans="1:7" x14ac:dyDescent="0.25">
      <c r="A31" t="s">
        <v>78</v>
      </c>
      <c r="C31" t="s">
        <v>29</v>
      </c>
      <c r="D31" t="s">
        <v>14</v>
      </c>
      <c r="E31" t="s">
        <v>49</v>
      </c>
      <c r="F31" t="s">
        <v>102</v>
      </c>
    </row>
    <row r="32" spans="1:7" x14ac:dyDescent="0.25">
      <c r="A32" t="s">
        <v>96</v>
      </c>
      <c r="C32" t="s">
        <v>8</v>
      </c>
      <c r="D32" t="s">
        <v>9</v>
      </c>
      <c r="E32" t="s">
        <v>103</v>
      </c>
      <c r="F32" t="s">
        <v>104</v>
      </c>
    </row>
    <row r="33" spans="1:7" x14ac:dyDescent="0.25">
      <c r="A33" t="s">
        <v>105</v>
      </c>
      <c r="C33" t="s">
        <v>55</v>
      </c>
      <c r="E33" t="s">
        <v>106</v>
      </c>
      <c r="F33" t="s">
        <v>107</v>
      </c>
    </row>
    <row r="34" spans="1:7" x14ac:dyDescent="0.25">
      <c r="A34" t="s">
        <v>108</v>
      </c>
      <c r="C34" t="s">
        <v>41</v>
      </c>
      <c r="D34" t="s">
        <v>25</v>
      </c>
      <c r="E34" t="s">
        <v>109</v>
      </c>
      <c r="F34" t="s">
        <v>110</v>
      </c>
      <c r="G34" t="s">
        <v>20</v>
      </c>
    </row>
    <row r="35" spans="1:7" x14ac:dyDescent="0.25">
      <c r="A35" t="s">
        <v>111</v>
      </c>
      <c r="C35" t="s">
        <v>29</v>
      </c>
      <c r="D35" t="s">
        <v>37</v>
      </c>
      <c r="E35" t="s">
        <v>112</v>
      </c>
      <c r="F35" t="s">
        <v>113</v>
      </c>
      <c r="G35">
        <v>23584.75</v>
      </c>
    </row>
    <row r="36" spans="1:7" x14ac:dyDescent="0.25">
      <c r="A36" t="s">
        <v>114</v>
      </c>
      <c r="C36" t="s">
        <v>55</v>
      </c>
      <c r="D36" t="s">
        <v>25</v>
      </c>
      <c r="E36" t="s">
        <v>115</v>
      </c>
      <c r="F36" t="s">
        <v>116</v>
      </c>
    </row>
    <row r="37" spans="1:7" x14ac:dyDescent="0.25">
      <c r="A37" t="s">
        <v>24</v>
      </c>
      <c r="C37" t="s">
        <v>41</v>
      </c>
      <c r="D37" t="s">
        <v>37</v>
      </c>
      <c r="E37" t="s">
        <v>70</v>
      </c>
      <c r="F37" t="s">
        <v>117</v>
      </c>
      <c r="G37" t="s">
        <v>20</v>
      </c>
    </row>
    <row r="38" spans="1:7" x14ac:dyDescent="0.25">
      <c r="A38" t="s">
        <v>118</v>
      </c>
      <c r="B38">
        <v>11</v>
      </c>
      <c r="C38" t="s">
        <v>13</v>
      </c>
      <c r="D38" t="s">
        <v>45</v>
      </c>
      <c r="E38" t="s">
        <v>119</v>
      </c>
      <c r="F38" t="s">
        <v>120</v>
      </c>
      <c r="G38" t="s">
        <v>20</v>
      </c>
    </row>
    <row r="39" spans="1:7" x14ac:dyDescent="0.25">
      <c r="A39" t="s">
        <v>121</v>
      </c>
      <c r="C39" t="s">
        <v>29</v>
      </c>
      <c r="D39" t="s">
        <v>51</v>
      </c>
      <c r="E39" t="s">
        <v>122</v>
      </c>
      <c r="F39" t="s">
        <v>123</v>
      </c>
      <c r="G39">
        <v>28495.3</v>
      </c>
    </row>
    <row r="40" spans="1:7" x14ac:dyDescent="0.25">
      <c r="A40" t="s">
        <v>124</v>
      </c>
      <c r="B40">
        <v>76</v>
      </c>
      <c r="C40" t="s">
        <v>13</v>
      </c>
      <c r="D40" t="s">
        <v>51</v>
      </c>
      <c r="E40" t="s">
        <v>125</v>
      </c>
      <c r="F40" t="s">
        <v>126</v>
      </c>
    </row>
    <row r="41" spans="1:7" x14ac:dyDescent="0.25">
      <c r="A41" t="s">
        <v>7</v>
      </c>
      <c r="B41">
        <v>54</v>
      </c>
      <c r="C41" t="s">
        <v>55</v>
      </c>
      <c r="D41" t="s">
        <v>51</v>
      </c>
      <c r="E41" t="s">
        <v>127</v>
      </c>
      <c r="F41" t="s">
        <v>128</v>
      </c>
      <c r="G41" t="s">
        <v>20</v>
      </c>
    </row>
    <row r="42" spans="1:7" x14ac:dyDescent="0.25">
      <c r="A42" t="s">
        <v>86</v>
      </c>
      <c r="C42" t="s">
        <v>36</v>
      </c>
      <c r="D42" t="s">
        <v>14</v>
      </c>
      <c r="E42" t="s">
        <v>129</v>
      </c>
      <c r="F42" t="s">
        <v>130</v>
      </c>
      <c r="G42" t="s">
        <v>20</v>
      </c>
    </row>
    <row r="43" spans="1:7" x14ac:dyDescent="0.25">
      <c r="A43" t="s">
        <v>131</v>
      </c>
      <c r="B43">
        <v>40</v>
      </c>
      <c r="C43" t="s">
        <v>41</v>
      </c>
      <c r="D43" t="s">
        <v>37</v>
      </c>
      <c r="E43" t="s">
        <v>132</v>
      </c>
      <c r="F43" t="s">
        <v>133</v>
      </c>
    </row>
    <row r="44" spans="1:7" x14ac:dyDescent="0.25">
      <c r="A44" t="s">
        <v>134</v>
      </c>
      <c r="C44" t="s">
        <v>41</v>
      </c>
      <c r="D44" t="s">
        <v>25</v>
      </c>
      <c r="E44" t="s">
        <v>135</v>
      </c>
      <c r="F44" t="s">
        <v>136</v>
      </c>
      <c r="G44" t="s">
        <v>20</v>
      </c>
    </row>
    <row r="45" spans="1:7" x14ac:dyDescent="0.25">
      <c r="A45" t="s">
        <v>137</v>
      </c>
      <c r="B45">
        <v>61</v>
      </c>
      <c r="C45" t="s">
        <v>13</v>
      </c>
      <c r="D45" t="s">
        <v>14</v>
      </c>
      <c r="E45" t="s">
        <v>138</v>
      </c>
      <c r="F45" t="s">
        <v>139</v>
      </c>
      <c r="G45">
        <v>13591.42</v>
      </c>
    </row>
    <row r="46" spans="1:7" x14ac:dyDescent="0.25">
      <c r="A46" t="s">
        <v>114</v>
      </c>
      <c r="C46" t="s">
        <v>55</v>
      </c>
      <c r="D46" t="s">
        <v>25</v>
      </c>
      <c r="E46" t="s">
        <v>140</v>
      </c>
      <c r="F46" t="s">
        <v>117</v>
      </c>
      <c r="G46">
        <v>7585.24</v>
      </c>
    </row>
    <row r="47" spans="1:7" x14ac:dyDescent="0.25">
      <c r="A47" t="s">
        <v>89</v>
      </c>
      <c r="C47" t="s">
        <v>41</v>
      </c>
      <c r="D47" t="s">
        <v>37</v>
      </c>
      <c r="E47" t="s">
        <v>141</v>
      </c>
      <c r="F47" t="s">
        <v>142</v>
      </c>
      <c r="G47">
        <v>26958.42</v>
      </c>
    </row>
    <row r="48" spans="1:7" x14ac:dyDescent="0.25">
      <c r="A48" t="s">
        <v>137</v>
      </c>
      <c r="B48">
        <v>48</v>
      </c>
      <c r="C48" t="s">
        <v>13</v>
      </c>
      <c r="D48" t="s">
        <v>45</v>
      </c>
      <c r="E48" t="s">
        <v>143</v>
      </c>
      <c r="F48" t="s">
        <v>144</v>
      </c>
      <c r="G48">
        <v>24199.17</v>
      </c>
    </row>
    <row r="49" spans="1:7" x14ac:dyDescent="0.25">
      <c r="A49" t="s">
        <v>21</v>
      </c>
      <c r="C49" t="s">
        <v>55</v>
      </c>
      <c r="E49" t="s">
        <v>90</v>
      </c>
      <c r="F49" t="s">
        <v>145</v>
      </c>
      <c r="G49">
        <v>2356.3000000000002</v>
      </c>
    </row>
    <row r="50" spans="1:7" x14ac:dyDescent="0.25">
      <c r="A50" t="s">
        <v>146</v>
      </c>
      <c r="B50">
        <v>24</v>
      </c>
      <c r="C50" t="s">
        <v>29</v>
      </c>
      <c r="D50" t="s">
        <v>45</v>
      </c>
      <c r="E50" t="s">
        <v>147</v>
      </c>
      <c r="F50" t="s">
        <v>148</v>
      </c>
      <c r="G50" t="s">
        <v>20</v>
      </c>
    </row>
    <row r="51" spans="1:7" x14ac:dyDescent="0.25">
      <c r="A51" t="s">
        <v>35</v>
      </c>
      <c r="B51">
        <v>51</v>
      </c>
      <c r="C51" t="s">
        <v>29</v>
      </c>
      <c r="D51" t="s">
        <v>9</v>
      </c>
      <c r="E51" t="s">
        <v>149</v>
      </c>
      <c r="F51" t="s">
        <v>150</v>
      </c>
      <c r="G51" t="s">
        <v>20</v>
      </c>
    </row>
    <row r="52" spans="1:7" x14ac:dyDescent="0.25">
      <c r="A52" t="s">
        <v>151</v>
      </c>
      <c r="B52">
        <v>66</v>
      </c>
      <c r="C52" t="s">
        <v>36</v>
      </c>
      <c r="D52" t="s">
        <v>14</v>
      </c>
      <c r="E52" t="s">
        <v>152</v>
      </c>
      <c r="F52" t="s">
        <v>153</v>
      </c>
      <c r="G52" t="s">
        <v>20</v>
      </c>
    </row>
    <row r="53" spans="1:7" x14ac:dyDescent="0.25">
      <c r="A53" t="s">
        <v>63</v>
      </c>
      <c r="C53" t="s">
        <v>8</v>
      </c>
      <c r="E53" t="s">
        <v>154</v>
      </c>
      <c r="F53" t="s">
        <v>155</v>
      </c>
    </row>
    <row r="54" spans="1:7" x14ac:dyDescent="0.25">
      <c r="A54" t="s">
        <v>156</v>
      </c>
      <c r="B54">
        <v>22</v>
      </c>
      <c r="C54" t="s">
        <v>8</v>
      </c>
      <c r="D54" t="s">
        <v>14</v>
      </c>
      <c r="E54" t="s">
        <v>157</v>
      </c>
      <c r="F54" t="s">
        <v>158</v>
      </c>
      <c r="G54" t="s">
        <v>20</v>
      </c>
    </row>
    <row r="55" spans="1:7" x14ac:dyDescent="0.25">
      <c r="A55" t="s">
        <v>159</v>
      </c>
      <c r="B55">
        <v>5</v>
      </c>
      <c r="C55" t="s">
        <v>13</v>
      </c>
      <c r="D55" t="s">
        <v>25</v>
      </c>
      <c r="E55" t="s">
        <v>160</v>
      </c>
      <c r="F55" t="s">
        <v>161</v>
      </c>
      <c r="G55" t="s">
        <v>20</v>
      </c>
    </row>
    <row r="56" spans="1:7" x14ac:dyDescent="0.25">
      <c r="A56" t="s">
        <v>162</v>
      </c>
      <c r="C56" t="s">
        <v>55</v>
      </c>
      <c r="D56" t="s">
        <v>45</v>
      </c>
      <c r="E56" t="s">
        <v>163</v>
      </c>
      <c r="F56" t="s">
        <v>164</v>
      </c>
      <c r="G56">
        <v>42643.49</v>
      </c>
    </row>
    <row r="57" spans="1:7" x14ac:dyDescent="0.25">
      <c r="A57" t="s">
        <v>165</v>
      </c>
      <c r="C57" t="s">
        <v>41</v>
      </c>
      <c r="D57" t="s">
        <v>37</v>
      </c>
      <c r="E57" t="s">
        <v>166</v>
      </c>
      <c r="F57" t="s">
        <v>167</v>
      </c>
      <c r="G57" t="s">
        <v>20</v>
      </c>
    </row>
    <row r="58" spans="1:7" x14ac:dyDescent="0.25">
      <c r="A58" t="s">
        <v>7</v>
      </c>
      <c r="B58">
        <v>62</v>
      </c>
      <c r="C58" t="s">
        <v>8</v>
      </c>
      <c r="D58" t="s">
        <v>37</v>
      </c>
      <c r="E58" t="s">
        <v>168</v>
      </c>
      <c r="F58" t="s">
        <v>169</v>
      </c>
      <c r="G58">
        <v>39034.699999999997</v>
      </c>
    </row>
    <row r="59" spans="1:7" x14ac:dyDescent="0.25">
      <c r="A59" t="s">
        <v>12</v>
      </c>
      <c r="C59" t="s">
        <v>8</v>
      </c>
      <c r="D59" t="s">
        <v>14</v>
      </c>
      <c r="E59" t="s">
        <v>170</v>
      </c>
      <c r="F59" t="s">
        <v>171</v>
      </c>
      <c r="G59" t="s">
        <v>20</v>
      </c>
    </row>
    <row r="60" spans="1:7" x14ac:dyDescent="0.25">
      <c r="A60" t="s">
        <v>105</v>
      </c>
      <c r="C60" t="s">
        <v>29</v>
      </c>
      <c r="D60" t="s">
        <v>45</v>
      </c>
      <c r="E60" t="s">
        <v>172</v>
      </c>
      <c r="F60" t="s">
        <v>31</v>
      </c>
    </row>
    <row r="61" spans="1:7" x14ac:dyDescent="0.25">
      <c r="A61" t="s">
        <v>99</v>
      </c>
      <c r="C61" t="s">
        <v>8</v>
      </c>
      <c r="D61" t="s">
        <v>45</v>
      </c>
      <c r="E61" t="s">
        <v>173</v>
      </c>
      <c r="F61" t="s">
        <v>174</v>
      </c>
      <c r="G61">
        <v>35337.75</v>
      </c>
    </row>
    <row r="62" spans="1:7" x14ac:dyDescent="0.25">
      <c r="A62" t="s">
        <v>99</v>
      </c>
      <c r="C62" t="s">
        <v>8</v>
      </c>
      <c r="D62" t="s">
        <v>51</v>
      </c>
      <c r="E62" t="s">
        <v>175</v>
      </c>
      <c r="F62" t="s">
        <v>176</v>
      </c>
      <c r="G62">
        <v>3511.23</v>
      </c>
    </row>
    <row r="63" spans="1:7" x14ac:dyDescent="0.25">
      <c r="A63" t="s">
        <v>151</v>
      </c>
      <c r="C63" t="s">
        <v>29</v>
      </c>
      <c r="D63" t="s">
        <v>37</v>
      </c>
      <c r="E63" t="s">
        <v>76</v>
      </c>
      <c r="F63" t="s">
        <v>113</v>
      </c>
    </row>
    <row r="64" spans="1:7" x14ac:dyDescent="0.25">
      <c r="A64" t="s">
        <v>111</v>
      </c>
      <c r="B64">
        <v>68</v>
      </c>
      <c r="C64" t="s">
        <v>41</v>
      </c>
      <c r="D64" t="s">
        <v>14</v>
      </c>
      <c r="E64" t="s">
        <v>177</v>
      </c>
      <c r="F64" t="s">
        <v>178</v>
      </c>
      <c r="G64">
        <v>9456.41</v>
      </c>
    </row>
    <row r="65" spans="1:7" x14ac:dyDescent="0.25">
      <c r="A65" t="s">
        <v>32</v>
      </c>
      <c r="C65" t="s">
        <v>36</v>
      </c>
      <c r="D65" t="s">
        <v>9</v>
      </c>
      <c r="E65" t="s">
        <v>179</v>
      </c>
      <c r="F65" t="s">
        <v>180</v>
      </c>
      <c r="G65">
        <v>45295.77</v>
      </c>
    </row>
    <row r="66" spans="1:7" x14ac:dyDescent="0.25">
      <c r="A66" t="s">
        <v>66</v>
      </c>
      <c r="C66" t="s">
        <v>41</v>
      </c>
      <c r="D66" t="s">
        <v>9</v>
      </c>
      <c r="E66" t="s">
        <v>181</v>
      </c>
      <c r="F66" t="s">
        <v>182</v>
      </c>
      <c r="G66" t="s">
        <v>20</v>
      </c>
    </row>
    <row r="67" spans="1:7" x14ac:dyDescent="0.25">
      <c r="A67" t="s">
        <v>54</v>
      </c>
      <c r="C67" t="s">
        <v>29</v>
      </c>
      <c r="D67" t="s">
        <v>9</v>
      </c>
      <c r="E67" t="s">
        <v>183</v>
      </c>
      <c r="F67" t="s">
        <v>184</v>
      </c>
    </row>
    <row r="68" spans="1:7" x14ac:dyDescent="0.25">
      <c r="A68" t="s">
        <v>118</v>
      </c>
      <c r="B68">
        <v>45</v>
      </c>
      <c r="C68" t="s">
        <v>8</v>
      </c>
      <c r="D68" t="s">
        <v>9</v>
      </c>
      <c r="E68" t="s">
        <v>185</v>
      </c>
      <c r="F68" t="s">
        <v>186</v>
      </c>
      <c r="G68" t="s">
        <v>20</v>
      </c>
    </row>
    <row r="69" spans="1:7" x14ac:dyDescent="0.25">
      <c r="A69" t="s">
        <v>159</v>
      </c>
      <c r="B69">
        <v>75</v>
      </c>
      <c r="C69" t="s">
        <v>8</v>
      </c>
      <c r="D69" t="s">
        <v>37</v>
      </c>
      <c r="E69" t="s">
        <v>187</v>
      </c>
      <c r="F69" t="s">
        <v>188</v>
      </c>
      <c r="G69">
        <v>48829.91</v>
      </c>
    </row>
    <row r="70" spans="1:7" x14ac:dyDescent="0.25">
      <c r="A70" t="s">
        <v>146</v>
      </c>
      <c r="C70" t="s">
        <v>13</v>
      </c>
      <c r="D70" t="s">
        <v>37</v>
      </c>
      <c r="E70" t="s">
        <v>189</v>
      </c>
      <c r="F70" t="s">
        <v>190</v>
      </c>
    </row>
    <row r="71" spans="1:7" x14ac:dyDescent="0.25">
      <c r="A71" t="s">
        <v>124</v>
      </c>
      <c r="C71" t="s">
        <v>55</v>
      </c>
      <c r="E71" t="s">
        <v>191</v>
      </c>
      <c r="F71" t="s">
        <v>192</v>
      </c>
      <c r="G71" t="s">
        <v>20</v>
      </c>
    </row>
    <row r="72" spans="1:7" x14ac:dyDescent="0.25">
      <c r="A72" t="s">
        <v>17</v>
      </c>
      <c r="C72" t="s">
        <v>55</v>
      </c>
      <c r="D72" t="s">
        <v>25</v>
      </c>
      <c r="E72" t="s">
        <v>193</v>
      </c>
      <c r="F72" t="s">
        <v>194</v>
      </c>
    </row>
    <row r="73" spans="1:7" x14ac:dyDescent="0.25">
      <c r="A73" t="s">
        <v>40</v>
      </c>
      <c r="B73">
        <v>71</v>
      </c>
      <c r="C73" t="s">
        <v>29</v>
      </c>
      <c r="D73" t="s">
        <v>51</v>
      </c>
      <c r="E73" t="s">
        <v>195</v>
      </c>
      <c r="F73" t="s">
        <v>196</v>
      </c>
    </row>
    <row r="74" spans="1:7" x14ac:dyDescent="0.25">
      <c r="A74" t="s">
        <v>197</v>
      </c>
      <c r="B74">
        <v>77</v>
      </c>
      <c r="C74" t="s">
        <v>13</v>
      </c>
      <c r="E74" t="s">
        <v>198</v>
      </c>
      <c r="F74" t="s">
        <v>199</v>
      </c>
      <c r="G74" t="s">
        <v>20</v>
      </c>
    </row>
    <row r="75" spans="1:7" x14ac:dyDescent="0.25">
      <c r="A75" t="s">
        <v>137</v>
      </c>
      <c r="B75">
        <v>39</v>
      </c>
      <c r="C75" t="s">
        <v>8</v>
      </c>
      <c r="D75" t="s">
        <v>51</v>
      </c>
      <c r="E75" t="s">
        <v>10</v>
      </c>
      <c r="F75" t="s">
        <v>200</v>
      </c>
    </row>
    <row r="76" spans="1:7" x14ac:dyDescent="0.25">
      <c r="A76" t="s">
        <v>99</v>
      </c>
      <c r="C76" t="s">
        <v>8</v>
      </c>
      <c r="D76" t="s">
        <v>25</v>
      </c>
      <c r="E76" t="s">
        <v>201</v>
      </c>
      <c r="F76" t="s">
        <v>202</v>
      </c>
      <c r="G76">
        <v>38280</v>
      </c>
    </row>
    <row r="77" spans="1:7" x14ac:dyDescent="0.25">
      <c r="A77" t="s">
        <v>197</v>
      </c>
      <c r="B77">
        <v>26</v>
      </c>
      <c r="C77" t="s">
        <v>13</v>
      </c>
      <c r="D77" t="s">
        <v>37</v>
      </c>
      <c r="E77" t="s">
        <v>203</v>
      </c>
      <c r="F77" t="s">
        <v>204</v>
      </c>
    </row>
    <row r="78" spans="1:7" x14ac:dyDescent="0.25">
      <c r="A78" t="s">
        <v>66</v>
      </c>
      <c r="C78" t="s">
        <v>8</v>
      </c>
      <c r="D78" t="s">
        <v>51</v>
      </c>
      <c r="E78" t="s">
        <v>205</v>
      </c>
      <c r="F78" t="s">
        <v>206</v>
      </c>
      <c r="G78">
        <v>31318.61</v>
      </c>
    </row>
    <row r="79" spans="1:7" x14ac:dyDescent="0.25">
      <c r="A79" t="s">
        <v>162</v>
      </c>
      <c r="C79" t="s">
        <v>41</v>
      </c>
      <c r="D79" t="s">
        <v>25</v>
      </c>
      <c r="E79" t="s">
        <v>207</v>
      </c>
      <c r="F79" t="s">
        <v>208</v>
      </c>
      <c r="G79" t="s">
        <v>20</v>
      </c>
    </row>
    <row r="80" spans="1:7" x14ac:dyDescent="0.25">
      <c r="A80" t="s">
        <v>7</v>
      </c>
      <c r="C80" t="s">
        <v>41</v>
      </c>
      <c r="D80" t="s">
        <v>37</v>
      </c>
      <c r="E80" t="s">
        <v>209</v>
      </c>
      <c r="F80" t="s">
        <v>210</v>
      </c>
      <c r="G80" t="s">
        <v>20</v>
      </c>
    </row>
    <row r="81" spans="1:7" x14ac:dyDescent="0.25">
      <c r="A81" t="s">
        <v>211</v>
      </c>
      <c r="B81">
        <v>47</v>
      </c>
      <c r="C81" t="s">
        <v>55</v>
      </c>
      <c r="D81" t="s">
        <v>45</v>
      </c>
      <c r="E81" t="s">
        <v>84</v>
      </c>
      <c r="F81" t="s">
        <v>212</v>
      </c>
      <c r="G81">
        <v>14974.84</v>
      </c>
    </row>
    <row r="82" spans="1:7" x14ac:dyDescent="0.25">
      <c r="A82" t="s">
        <v>75</v>
      </c>
      <c r="C82" t="s">
        <v>55</v>
      </c>
      <c r="D82" t="s">
        <v>37</v>
      </c>
      <c r="E82" t="s">
        <v>125</v>
      </c>
      <c r="F82" t="s">
        <v>213</v>
      </c>
      <c r="G82">
        <v>19983.060000000001</v>
      </c>
    </row>
    <row r="83" spans="1:7" x14ac:dyDescent="0.25">
      <c r="A83" t="s">
        <v>96</v>
      </c>
      <c r="C83" t="s">
        <v>36</v>
      </c>
      <c r="D83" t="s">
        <v>51</v>
      </c>
      <c r="E83" t="s">
        <v>214</v>
      </c>
      <c r="F83" t="s">
        <v>215</v>
      </c>
    </row>
    <row r="84" spans="1:7" x14ac:dyDescent="0.25">
      <c r="A84" t="s">
        <v>114</v>
      </c>
      <c r="C84" t="s">
        <v>55</v>
      </c>
      <c r="D84" t="s">
        <v>9</v>
      </c>
      <c r="E84" t="s">
        <v>67</v>
      </c>
      <c r="F84" t="s">
        <v>216</v>
      </c>
      <c r="G84" t="s">
        <v>20</v>
      </c>
    </row>
    <row r="85" spans="1:7" x14ac:dyDescent="0.25">
      <c r="A85" t="s">
        <v>86</v>
      </c>
      <c r="C85" t="s">
        <v>29</v>
      </c>
      <c r="D85" t="s">
        <v>37</v>
      </c>
      <c r="E85" t="s">
        <v>217</v>
      </c>
      <c r="F85" t="s">
        <v>218</v>
      </c>
    </row>
    <row r="86" spans="1:7" x14ac:dyDescent="0.25">
      <c r="A86" t="s">
        <v>7</v>
      </c>
      <c r="B86">
        <v>47</v>
      </c>
      <c r="C86" t="s">
        <v>29</v>
      </c>
      <c r="D86" t="s">
        <v>14</v>
      </c>
      <c r="E86" t="s">
        <v>70</v>
      </c>
      <c r="F86" t="s">
        <v>219</v>
      </c>
      <c r="G86" t="s">
        <v>20</v>
      </c>
    </row>
    <row r="87" spans="1:7" x14ac:dyDescent="0.25">
      <c r="A87" t="s">
        <v>7</v>
      </c>
      <c r="C87" t="s">
        <v>41</v>
      </c>
      <c r="D87" t="s">
        <v>45</v>
      </c>
      <c r="E87" t="s">
        <v>220</v>
      </c>
      <c r="F87" t="s">
        <v>221</v>
      </c>
      <c r="G87">
        <v>9375.59</v>
      </c>
    </row>
    <row r="88" spans="1:7" x14ac:dyDescent="0.25">
      <c r="A88" t="s">
        <v>222</v>
      </c>
      <c r="C88" t="s">
        <v>13</v>
      </c>
      <c r="D88" t="s">
        <v>25</v>
      </c>
      <c r="E88" t="s">
        <v>223</v>
      </c>
      <c r="F88" t="s">
        <v>224</v>
      </c>
      <c r="G88">
        <v>47546.49</v>
      </c>
    </row>
    <row r="89" spans="1:7" x14ac:dyDescent="0.25">
      <c r="A89" t="s">
        <v>28</v>
      </c>
      <c r="C89" t="s">
        <v>55</v>
      </c>
      <c r="D89" t="s">
        <v>51</v>
      </c>
      <c r="E89" t="s">
        <v>163</v>
      </c>
      <c r="F89" t="s">
        <v>225</v>
      </c>
      <c r="G89" t="s">
        <v>20</v>
      </c>
    </row>
    <row r="90" spans="1:7" x14ac:dyDescent="0.25">
      <c r="A90" t="s">
        <v>78</v>
      </c>
      <c r="C90" t="s">
        <v>29</v>
      </c>
      <c r="D90" t="s">
        <v>37</v>
      </c>
      <c r="E90" t="s">
        <v>226</v>
      </c>
      <c r="F90" t="s">
        <v>181</v>
      </c>
      <c r="G90" t="s">
        <v>20</v>
      </c>
    </row>
    <row r="91" spans="1:7" x14ac:dyDescent="0.25">
      <c r="A91" t="s">
        <v>96</v>
      </c>
      <c r="C91" t="s">
        <v>55</v>
      </c>
      <c r="D91" t="s">
        <v>51</v>
      </c>
      <c r="E91" t="s">
        <v>227</v>
      </c>
      <c r="F91" t="s">
        <v>228</v>
      </c>
    </row>
    <row r="92" spans="1:7" x14ac:dyDescent="0.25">
      <c r="A92" t="s">
        <v>229</v>
      </c>
      <c r="C92" t="s">
        <v>55</v>
      </c>
      <c r="E92" t="s">
        <v>30</v>
      </c>
      <c r="F92" t="s">
        <v>230</v>
      </c>
      <c r="G92">
        <v>18641.18</v>
      </c>
    </row>
    <row r="93" spans="1:7" x14ac:dyDescent="0.25">
      <c r="A93" t="s">
        <v>229</v>
      </c>
      <c r="C93" t="s">
        <v>8</v>
      </c>
      <c r="D93" t="s">
        <v>14</v>
      </c>
      <c r="E93" t="s">
        <v>231</v>
      </c>
      <c r="F93" t="s">
        <v>232</v>
      </c>
      <c r="G93">
        <v>25163.48</v>
      </c>
    </row>
    <row r="94" spans="1:7" x14ac:dyDescent="0.25">
      <c r="A94" t="s">
        <v>124</v>
      </c>
      <c r="B94">
        <v>53</v>
      </c>
      <c r="C94" t="s">
        <v>41</v>
      </c>
      <c r="D94" t="s">
        <v>25</v>
      </c>
      <c r="E94" t="s">
        <v>233</v>
      </c>
      <c r="F94" t="s">
        <v>234</v>
      </c>
      <c r="G94">
        <v>27883.22</v>
      </c>
    </row>
    <row r="95" spans="1:7" x14ac:dyDescent="0.25">
      <c r="A95" t="s">
        <v>72</v>
      </c>
      <c r="C95" t="s">
        <v>41</v>
      </c>
      <c r="E95" t="s">
        <v>52</v>
      </c>
      <c r="F95" t="s">
        <v>235</v>
      </c>
      <c r="G95">
        <v>13276.08</v>
      </c>
    </row>
    <row r="96" spans="1:7" x14ac:dyDescent="0.25">
      <c r="A96" t="s">
        <v>236</v>
      </c>
      <c r="C96" t="s">
        <v>36</v>
      </c>
      <c r="D96" t="s">
        <v>9</v>
      </c>
      <c r="E96" t="s">
        <v>237</v>
      </c>
      <c r="F96" t="s">
        <v>238</v>
      </c>
    </row>
    <row r="97" spans="1:7" x14ac:dyDescent="0.25">
      <c r="A97" t="s">
        <v>28</v>
      </c>
      <c r="C97" t="s">
        <v>36</v>
      </c>
      <c r="D97" t="s">
        <v>14</v>
      </c>
      <c r="E97" t="s">
        <v>239</v>
      </c>
      <c r="F97" t="s">
        <v>240</v>
      </c>
      <c r="G97">
        <v>41154.46</v>
      </c>
    </row>
    <row r="98" spans="1:7" x14ac:dyDescent="0.25">
      <c r="A98" t="s">
        <v>146</v>
      </c>
      <c r="C98" t="s">
        <v>8</v>
      </c>
      <c r="E98" t="s">
        <v>241</v>
      </c>
      <c r="F98" t="s">
        <v>242</v>
      </c>
      <c r="G98" t="s">
        <v>20</v>
      </c>
    </row>
    <row r="99" spans="1:7" x14ac:dyDescent="0.25">
      <c r="A99" t="s">
        <v>17</v>
      </c>
      <c r="C99" t="s">
        <v>55</v>
      </c>
      <c r="D99" t="s">
        <v>51</v>
      </c>
      <c r="E99" t="s">
        <v>243</v>
      </c>
      <c r="F99" t="s">
        <v>244</v>
      </c>
      <c r="G99" t="s">
        <v>20</v>
      </c>
    </row>
    <row r="100" spans="1:7" x14ac:dyDescent="0.25">
      <c r="A100" t="s">
        <v>72</v>
      </c>
      <c r="C100" t="s">
        <v>36</v>
      </c>
      <c r="D100" t="s">
        <v>25</v>
      </c>
      <c r="E100" t="s">
        <v>245</v>
      </c>
      <c r="F100" t="s">
        <v>246</v>
      </c>
    </row>
    <row r="101" spans="1:7" x14ac:dyDescent="0.25">
      <c r="A101" t="s">
        <v>146</v>
      </c>
      <c r="B101">
        <v>2</v>
      </c>
      <c r="C101" t="s">
        <v>13</v>
      </c>
      <c r="D101" t="s">
        <v>37</v>
      </c>
      <c r="E101" t="s">
        <v>247</v>
      </c>
      <c r="F101" t="s">
        <v>248</v>
      </c>
      <c r="G10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AA4F-FBDA-422E-AD07-D2AE7F99262C}">
  <dimension ref="A1:L102"/>
  <sheetViews>
    <sheetView workbookViewId="0">
      <selection activeCell="D2" sqref="D2"/>
    </sheetView>
  </sheetViews>
  <sheetFormatPr defaultRowHeight="15" x14ac:dyDescent="0.25"/>
  <cols>
    <col min="1" max="1" width="12.42578125" bestFit="1" customWidth="1"/>
    <col min="2" max="2" width="9.85546875" bestFit="1" customWidth="1"/>
    <col min="3" max="3" width="7.140625" bestFit="1" customWidth="1"/>
    <col min="4" max="4" width="12.85546875" bestFit="1" customWidth="1"/>
    <col min="5" max="5" width="16.7109375" bestFit="1" customWidth="1"/>
    <col min="6" max="6" width="10" bestFit="1" customWidth="1"/>
    <col min="7" max="7" width="13.140625" bestFit="1" customWidth="1"/>
    <col min="8" max="8" width="17.7109375" style="1" bestFit="1" customWidth="1"/>
    <col min="9" max="9" width="17.42578125" style="1" bestFit="1" customWidth="1"/>
    <col min="10" max="10" width="16.85546875" bestFit="1" customWidth="1"/>
    <col min="11" max="11" width="13.140625" style="2" bestFit="1" customWidth="1"/>
    <col min="12" max="12" width="17.28515625" style="1" customWidth="1"/>
  </cols>
  <sheetData>
    <row r="1" spans="1:12" x14ac:dyDescent="0.25">
      <c r="A1" t="s">
        <v>251</v>
      </c>
      <c r="B1" t="s">
        <v>256</v>
      </c>
      <c r="C1" t="s">
        <v>1</v>
      </c>
      <c r="D1" t="s">
        <v>284</v>
      </c>
      <c r="E1" t="s">
        <v>250</v>
      </c>
      <c r="F1" t="s">
        <v>252</v>
      </c>
      <c r="G1" t="s">
        <v>3</v>
      </c>
      <c r="H1" s="1" t="s">
        <v>253</v>
      </c>
      <c r="I1" s="1" t="s">
        <v>254</v>
      </c>
      <c r="J1" s="2" t="s">
        <v>255</v>
      </c>
      <c r="K1" s="1" t="s">
        <v>266</v>
      </c>
      <c r="L1"/>
    </row>
    <row r="2" spans="1:12" x14ac:dyDescent="0.25">
      <c r="A2" t="s">
        <v>7</v>
      </c>
      <c r="B2">
        <v>1</v>
      </c>
      <c r="C2">
        <v>44</v>
      </c>
      <c r="D2" t="str">
        <f>IF(C2="Missing","Unknown",
IF(C2&lt;=18,"0-18",
IF(C2&lt;=35,"19-35",
IF(C2&lt;=55,"36-55","56+"))))</f>
        <v>36-55</v>
      </c>
      <c r="E2" t="str">
        <f t="shared" ref="E2:E33" si="0">IF(C2="", "Missing", IF(C2&lt;5, "Check", "Ok"))</f>
        <v>Ok</v>
      </c>
      <c r="F2" t="s">
        <v>29</v>
      </c>
      <c r="G2" t="s">
        <v>37</v>
      </c>
      <c r="H2" s="1">
        <v>45000</v>
      </c>
      <c r="I2" s="1">
        <v>45003</v>
      </c>
      <c r="J2" s="2">
        <v>49170.05</v>
      </c>
      <c r="K2" s="1" t="str">
        <f t="shared" ref="K2:K33" si="1">IF(J2="","missing","ok")</f>
        <v>ok</v>
      </c>
      <c r="L2"/>
    </row>
    <row r="3" spans="1:12" x14ac:dyDescent="0.25">
      <c r="A3" t="s">
        <v>12</v>
      </c>
      <c r="B3">
        <v>2</v>
      </c>
      <c r="D3" t="str">
        <f t="shared" ref="D3:D33" si="2">IF(C3="Missing","Unknown",
IF(C3&lt;=18,"0-18",
IF(C3&lt;=35,"19-35",
IF(C3&lt;=55,"36-55","56+"))))</f>
        <v>0-18</v>
      </c>
      <c r="E3" t="str">
        <f t="shared" si="0"/>
        <v>Missing</v>
      </c>
      <c r="F3" t="s">
        <v>8</v>
      </c>
      <c r="G3" t="s">
        <v>14</v>
      </c>
      <c r="H3" s="1">
        <v>45016</v>
      </c>
      <c r="I3" s="1">
        <v>45024</v>
      </c>
      <c r="J3" s="2">
        <v>45778.51</v>
      </c>
      <c r="K3" s="1" t="str">
        <f t="shared" si="1"/>
        <v>ok</v>
      </c>
      <c r="L3"/>
    </row>
    <row r="4" spans="1:12" x14ac:dyDescent="0.25">
      <c r="A4" t="s">
        <v>17</v>
      </c>
      <c r="B4">
        <v>3</v>
      </c>
      <c r="D4" t="str">
        <f t="shared" si="2"/>
        <v>0-18</v>
      </c>
      <c r="E4" t="str">
        <f t="shared" si="0"/>
        <v>Missing</v>
      </c>
      <c r="F4" t="s">
        <v>29</v>
      </c>
      <c r="G4" t="s">
        <v>37</v>
      </c>
      <c r="H4" s="1">
        <v>45206</v>
      </c>
      <c r="I4" s="1">
        <v>45214</v>
      </c>
      <c r="J4" s="2"/>
      <c r="K4" s="1" t="str">
        <f t="shared" si="1"/>
        <v>missing</v>
      </c>
      <c r="L4"/>
    </row>
    <row r="5" spans="1:12" x14ac:dyDescent="0.25">
      <c r="A5" t="s">
        <v>21</v>
      </c>
      <c r="B5">
        <v>4</v>
      </c>
      <c r="D5" t="str">
        <f t="shared" si="2"/>
        <v>0-18</v>
      </c>
      <c r="E5" t="str">
        <f t="shared" si="0"/>
        <v>Missing</v>
      </c>
      <c r="F5" t="s">
        <v>8</v>
      </c>
      <c r="G5" t="s">
        <v>14</v>
      </c>
      <c r="H5" s="1">
        <v>45222</v>
      </c>
      <c r="I5" s="1">
        <v>45232</v>
      </c>
      <c r="J5" s="2">
        <v>46813.33</v>
      </c>
      <c r="K5" s="1" t="str">
        <f t="shared" si="1"/>
        <v>ok</v>
      </c>
      <c r="L5"/>
    </row>
    <row r="6" spans="1:12" x14ac:dyDescent="0.25">
      <c r="A6" t="s">
        <v>24</v>
      </c>
      <c r="B6">
        <v>5</v>
      </c>
      <c r="C6">
        <v>67</v>
      </c>
      <c r="D6" t="str">
        <f t="shared" si="2"/>
        <v>56+</v>
      </c>
      <c r="E6" t="str">
        <f t="shared" si="0"/>
        <v>Ok</v>
      </c>
      <c r="F6" t="s">
        <v>8</v>
      </c>
      <c r="G6" t="s">
        <v>25</v>
      </c>
      <c r="H6" s="1">
        <v>45224</v>
      </c>
      <c r="I6" s="1">
        <v>45233</v>
      </c>
      <c r="J6" s="2">
        <v>41900.15</v>
      </c>
      <c r="K6" s="1" t="str">
        <f t="shared" si="1"/>
        <v>ok</v>
      </c>
      <c r="L6"/>
    </row>
    <row r="7" spans="1:12" x14ac:dyDescent="0.25">
      <c r="A7" t="s">
        <v>28</v>
      </c>
      <c r="B7">
        <v>6</v>
      </c>
      <c r="D7" t="str">
        <f t="shared" si="2"/>
        <v>0-18</v>
      </c>
      <c r="E7" t="str">
        <f t="shared" si="0"/>
        <v>Missing</v>
      </c>
      <c r="F7" t="s">
        <v>29</v>
      </c>
      <c r="G7" t="s">
        <v>37</v>
      </c>
      <c r="H7" s="1">
        <v>44948</v>
      </c>
      <c r="I7" s="1">
        <v>44953</v>
      </c>
      <c r="J7" s="2">
        <v>48117.72</v>
      </c>
      <c r="K7" s="1" t="str">
        <f t="shared" si="1"/>
        <v>ok</v>
      </c>
      <c r="L7"/>
    </row>
    <row r="8" spans="1:12" x14ac:dyDescent="0.25">
      <c r="A8" t="s">
        <v>32</v>
      </c>
      <c r="B8">
        <v>7</v>
      </c>
      <c r="C8">
        <v>29</v>
      </c>
      <c r="D8" t="str">
        <f t="shared" si="2"/>
        <v>19-35</v>
      </c>
      <c r="E8" t="str">
        <f t="shared" si="0"/>
        <v>Ok</v>
      </c>
      <c r="F8" t="s">
        <v>8</v>
      </c>
      <c r="G8" t="s">
        <v>37</v>
      </c>
      <c r="H8" s="1">
        <v>45123</v>
      </c>
      <c r="I8" s="1">
        <v>45124</v>
      </c>
      <c r="J8" s="2"/>
      <c r="K8" s="1" t="str">
        <f t="shared" si="1"/>
        <v>missing</v>
      </c>
      <c r="L8"/>
    </row>
    <row r="9" spans="1:12" x14ac:dyDescent="0.25">
      <c r="A9" t="s">
        <v>35</v>
      </c>
      <c r="B9">
        <v>8</v>
      </c>
      <c r="D9" t="str">
        <f t="shared" si="2"/>
        <v>0-18</v>
      </c>
      <c r="E9" t="str">
        <f t="shared" si="0"/>
        <v>Missing</v>
      </c>
      <c r="F9" t="s">
        <v>29</v>
      </c>
      <c r="G9" t="s">
        <v>37</v>
      </c>
      <c r="H9" s="1">
        <v>44941</v>
      </c>
      <c r="I9" s="1">
        <v>44944</v>
      </c>
      <c r="J9" s="2">
        <v>6379.39</v>
      </c>
      <c r="K9" s="1" t="str">
        <f t="shared" si="1"/>
        <v>ok</v>
      </c>
      <c r="L9"/>
    </row>
    <row r="10" spans="1:12" x14ac:dyDescent="0.25">
      <c r="A10" t="s">
        <v>40</v>
      </c>
      <c r="B10">
        <v>9</v>
      </c>
      <c r="C10">
        <v>1</v>
      </c>
      <c r="D10" t="str">
        <f t="shared" si="2"/>
        <v>0-18</v>
      </c>
      <c r="E10" t="str">
        <f t="shared" si="0"/>
        <v>Check</v>
      </c>
      <c r="F10" t="s">
        <v>29</v>
      </c>
      <c r="G10" t="s">
        <v>14</v>
      </c>
      <c r="H10" s="1">
        <v>45263</v>
      </c>
      <c r="I10" s="1">
        <v>45268</v>
      </c>
      <c r="J10" s="2"/>
      <c r="K10" s="1" t="str">
        <f t="shared" si="1"/>
        <v>missing</v>
      </c>
      <c r="L10"/>
    </row>
    <row r="11" spans="1:12" x14ac:dyDescent="0.25">
      <c r="A11" t="s">
        <v>44</v>
      </c>
      <c r="B11">
        <v>10</v>
      </c>
      <c r="D11" t="str">
        <f t="shared" si="2"/>
        <v>0-18</v>
      </c>
      <c r="E11" t="str">
        <f t="shared" si="0"/>
        <v>Missing</v>
      </c>
      <c r="F11" t="s">
        <v>29</v>
      </c>
      <c r="G11" t="s">
        <v>45</v>
      </c>
      <c r="H11" s="1">
        <v>45264</v>
      </c>
      <c r="I11" s="1">
        <v>45270</v>
      </c>
      <c r="J11" s="2">
        <v>21753.77</v>
      </c>
      <c r="K11" s="1" t="str">
        <f t="shared" si="1"/>
        <v>ok</v>
      </c>
      <c r="L11"/>
    </row>
    <row r="12" spans="1:12" x14ac:dyDescent="0.25">
      <c r="A12" t="s">
        <v>48</v>
      </c>
      <c r="B12">
        <v>11</v>
      </c>
      <c r="D12" t="str">
        <f t="shared" si="2"/>
        <v>0-18</v>
      </c>
      <c r="E12" t="str">
        <f t="shared" si="0"/>
        <v>Missing</v>
      </c>
      <c r="F12" t="s">
        <v>29</v>
      </c>
      <c r="G12" t="s">
        <v>45</v>
      </c>
      <c r="H12" s="1">
        <v>45216</v>
      </c>
      <c r="I12" s="1">
        <v>45226</v>
      </c>
      <c r="J12" s="2"/>
      <c r="K12" s="1" t="str">
        <f t="shared" si="1"/>
        <v>missing</v>
      </c>
      <c r="L12"/>
    </row>
    <row r="13" spans="1:12" x14ac:dyDescent="0.25">
      <c r="A13" t="s">
        <v>35</v>
      </c>
      <c r="B13">
        <v>12</v>
      </c>
      <c r="C13">
        <v>52</v>
      </c>
      <c r="D13" t="str">
        <f t="shared" si="2"/>
        <v>36-55</v>
      </c>
      <c r="E13" t="str">
        <f t="shared" si="0"/>
        <v>Ok</v>
      </c>
      <c r="F13" t="s">
        <v>29</v>
      </c>
      <c r="G13" t="s">
        <v>51</v>
      </c>
      <c r="H13" s="1">
        <v>44938</v>
      </c>
      <c r="I13" s="1">
        <v>44946</v>
      </c>
      <c r="J13" s="2"/>
      <c r="K13" s="1" t="str">
        <f t="shared" si="1"/>
        <v>missing</v>
      </c>
      <c r="L13"/>
    </row>
    <row r="14" spans="1:12" x14ac:dyDescent="0.25">
      <c r="A14" t="s">
        <v>54</v>
      </c>
      <c r="B14">
        <v>13</v>
      </c>
      <c r="D14" t="str">
        <f t="shared" si="2"/>
        <v>0-18</v>
      </c>
      <c r="E14" t="str">
        <f t="shared" si="0"/>
        <v>Missing</v>
      </c>
      <c r="F14" t="s">
        <v>29</v>
      </c>
      <c r="G14" t="s">
        <v>14</v>
      </c>
      <c r="H14" s="1">
        <v>45224</v>
      </c>
      <c r="I14" s="1">
        <v>45228</v>
      </c>
      <c r="J14" s="2">
        <v>20798.8</v>
      </c>
      <c r="K14" s="1" t="str">
        <f t="shared" si="1"/>
        <v>ok</v>
      </c>
      <c r="L14"/>
    </row>
    <row r="15" spans="1:12" x14ac:dyDescent="0.25">
      <c r="A15" t="s">
        <v>58</v>
      </c>
      <c r="B15">
        <v>14</v>
      </c>
      <c r="C15">
        <v>46</v>
      </c>
      <c r="D15" t="str">
        <f t="shared" si="2"/>
        <v>36-55</v>
      </c>
      <c r="E15" t="str">
        <f t="shared" si="0"/>
        <v>Ok</v>
      </c>
      <c r="F15" t="s">
        <v>8</v>
      </c>
      <c r="G15" t="s">
        <v>25</v>
      </c>
      <c r="H15" s="1">
        <v>45260</v>
      </c>
      <c r="I15" s="1">
        <v>45261</v>
      </c>
      <c r="J15" s="2">
        <v>42050.51</v>
      </c>
      <c r="K15" s="1" t="str">
        <f t="shared" si="1"/>
        <v>ok</v>
      </c>
      <c r="L15"/>
    </row>
    <row r="16" spans="1:12" x14ac:dyDescent="0.25">
      <c r="A16" t="s">
        <v>28</v>
      </c>
      <c r="B16">
        <v>15</v>
      </c>
      <c r="D16" t="str">
        <f t="shared" si="2"/>
        <v>0-18</v>
      </c>
      <c r="E16" t="str">
        <f t="shared" si="0"/>
        <v>Missing</v>
      </c>
      <c r="F16" t="s">
        <v>29</v>
      </c>
      <c r="G16" t="s">
        <v>51</v>
      </c>
      <c r="H16" s="1">
        <v>45154</v>
      </c>
      <c r="I16" s="1">
        <v>45158</v>
      </c>
      <c r="J16" s="2"/>
      <c r="K16" s="1" t="str">
        <f t="shared" si="1"/>
        <v>missing</v>
      </c>
      <c r="L16"/>
    </row>
    <row r="17" spans="1:12" x14ac:dyDescent="0.25">
      <c r="A17" t="s">
        <v>63</v>
      </c>
      <c r="B17">
        <v>16</v>
      </c>
      <c r="C17">
        <v>36</v>
      </c>
      <c r="D17" t="str">
        <f t="shared" si="2"/>
        <v>36-55</v>
      </c>
      <c r="E17" t="str">
        <f t="shared" si="0"/>
        <v>Ok</v>
      </c>
      <c r="F17" t="s">
        <v>8</v>
      </c>
      <c r="G17" t="s">
        <v>37</v>
      </c>
      <c r="H17" s="1">
        <v>44999</v>
      </c>
      <c r="I17" s="1">
        <v>45008</v>
      </c>
      <c r="J17" s="2"/>
      <c r="K17" s="1" t="str">
        <f t="shared" si="1"/>
        <v>missing</v>
      </c>
      <c r="L17"/>
    </row>
    <row r="18" spans="1:12" x14ac:dyDescent="0.25">
      <c r="A18" t="s">
        <v>66</v>
      </c>
      <c r="B18">
        <v>17</v>
      </c>
      <c r="D18" t="str">
        <f t="shared" si="2"/>
        <v>0-18</v>
      </c>
      <c r="E18" t="str">
        <f t="shared" si="0"/>
        <v>Missing</v>
      </c>
      <c r="F18" t="s">
        <v>8</v>
      </c>
      <c r="G18" t="s">
        <v>257</v>
      </c>
      <c r="H18" s="1">
        <v>45164</v>
      </c>
      <c r="I18" s="1">
        <v>45174</v>
      </c>
      <c r="J18" s="2"/>
      <c r="K18" s="1" t="str">
        <f t="shared" si="1"/>
        <v>missing</v>
      </c>
      <c r="L18"/>
    </row>
    <row r="19" spans="1:12" x14ac:dyDescent="0.25">
      <c r="A19" t="s">
        <v>69</v>
      </c>
      <c r="B19">
        <v>18</v>
      </c>
      <c r="D19" t="str">
        <f t="shared" si="2"/>
        <v>0-18</v>
      </c>
      <c r="E19" t="str">
        <f t="shared" si="0"/>
        <v>Missing</v>
      </c>
      <c r="F19" t="s">
        <v>8</v>
      </c>
      <c r="G19" t="s">
        <v>51</v>
      </c>
      <c r="H19" s="1">
        <v>45008</v>
      </c>
      <c r="I19" s="1">
        <v>45015</v>
      </c>
      <c r="J19" s="2">
        <v>21821.73</v>
      </c>
      <c r="K19" s="1" t="str">
        <f t="shared" si="1"/>
        <v>ok</v>
      </c>
      <c r="L19"/>
    </row>
    <row r="20" spans="1:12" x14ac:dyDescent="0.25">
      <c r="A20" t="s">
        <v>72</v>
      </c>
      <c r="B20">
        <v>19</v>
      </c>
      <c r="D20" t="str">
        <f t="shared" si="2"/>
        <v>0-18</v>
      </c>
      <c r="E20" t="str">
        <f t="shared" si="0"/>
        <v>Missing</v>
      </c>
      <c r="F20" t="s">
        <v>29</v>
      </c>
      <c r="G20" t="s">
        <v>45</v>
      </c>
      <c r="H20" s="1">
        <v>45125</v>
      </c>
      <c r="I20" s="1">
        <v>45134</v>
      </c>
      <c r="J20" s="2"/>
      <c r="K20" s="1" t="str">
        <f t="shared" si="1"/>
        <v>missing</v>
      </c>
      <c r="L20"/>
    </row>
    <row r="21" spans="1:12" x14ac:dyDescent="0.25">
      <c r="A21" t="s">
        <v>75</v>
      </c>
      <c r="B21">
        <v>20</v>
      </c>
      <c r="C21">
        <v>37</v>
      </c>
      <c r="D21" t="str">
        <f t="shared" si="2"/>
        <v>36-55</v>
      </c>
      <c r="E21" t="str">
        <f t="shared" si="0"/>
        <v>Ok</v>
      </c>
      <c r="F21" t="s">
        <v>29</v>
      </c>
      <c r="G21" t="s">
        <v>51</v>
      </c>
      <c r="H21" s="1">
        <v>45124</v>
      </c>
      <c r="I21" s="1">
        <v>45131</v>
      </c>
      <c r="J21" s="2">
        <v>42656.07</v>
      </c>
      <c r="K21" s="1" t="str">
        <f t="shared" si="1"/>
        <v>ok</v>
      </c>
      <c r="L21"/>
    </row>
    <row r="22" spans="1:12" x14ac:dyDescent="0.25">
      <c r="A22" t="s">
        <v>78</v>
      </c>
      <c r="B22">
        <v>21</v>
      </c>
      <c r="C22">
        <v>78</v>
      </c>
      <c r="D22" t="str">
        <f t="shared" si="2"/>
        <v>56+</v>
      </c>
      <c r="E22" t="str">
        <f t="shared" si="0"/>
        <v>Ok</v>
      </c>
      <c r="F22" t="s">
        <v>29</v>
      </c>
      <c r="G22" t="s">
        <v>257</v>
      </c>
      <c r="H22" s="1">
        <v>45035</v>
      </c>
      <c r="I22" s="1">
        <v>45040</v>
      </c>
      <c r="J22" s="2"/>
      <c r="K22" s="1" t="str">
        <f t="shared" si="1"/>
        <v>missing</v>
      </c>
      <c r="L22"/>
    </row>
    <row r="23" spans="1:12" x14ac:dyDescent="0.25">
      <c r="A23" t="s">
        <v>40</v>
      </c>
      <c r="B23">
        <v>22</v>
      </c>
      <c r="D23" t="str">
        <f t="shared" si="2"/>
        <v>0-18</v>
      </c>
      <c r="E23" t="str">
        <f t="shared" si="0"/>
        <v>Missing</v>
      </c>
      <c r="F23" t="s">
        <v>29</v>
      </c>
      <c r="G23" t="s">
        <v>25</v>
      </c>
      <c r="H23" s="1">
        <v>45073</v>
      </c>
      <c r="I23" s="1">
        <v>45078</v>
      </c>
      <c r="J23" s="2"/>
      <c r="K23" s="1" t="str">
        <f t="shared" si="1"/>
        <v>missing</v>
      </c>
      <c r="L23"/>
    </row>
    <row r="24" spans="1:12" x14ac:dyDescent="0.25">
      <c r="A24" t="s">
        <v>83</v>
      </c>
      <c r="B24">
        <v>23</v>
      </c>
      <c r="C24">
        <v>40</v>
      </c>
      <c r="D24" t="str">
        <f t="shared" si="2"/>
        <v>36-55</v>
      </c>
      <c r="E24" t="str">
        <f t="shared" si="0"/>
        <v>Ok</v>
      </c>
      <c r="F24" t="s">
        <v>29</v>
      </c>
      <c r="G24" t="s">
        <v>25</v>
      </c>
      <c r="H24" s="1">
        <v>45138</v>
      </c>
      <c r="I24" s="1">
        <v>45141</v>
      </c>
      <c r="J24" s="2"/>
      <c r="K24" s="1" t="str">
        <f t="shared" si="1"/>
        <v>missing</v>
      </c>
      <c r="L24"/>
    </row>
    <row r="25" spans="1:12" x14ac:dyDescent="0.25">
      <c r="A25" t="s">
        <v>86</v>
      </c>
      <c r="B25">
        <v>24</v>
      </c>
      <c r="D25" t="str">
        <f t="shared" si="2"/>
        <v>0-18</v>
      </c>
      <c r="E25" t="str">
        <f t="shared" si="0"/>
        <v>Missing</v>
      </c>
      <c r="F25" t="s">
        <v>8</v>
      </c>
      <c r="G25" t="s">
        <v>51</v>
      </c>
      <c r="H25" s="1">
        <v>45154</v>
      </c>
      <c r="I25" s="1">
        <v>45158</v>
      </c>
      <c r="J25" s="2">
        <v>17002.009999999998</v>
      </c>
      <c r="K25" s="1" t="str">
        <f t="shared" si="1"/>
        <v>ok</v>
      </c>
      <c r="L25"/>
    </row>
    <row r="26" spans="1:12" x14ac:dyDescent="0.25">
      <c r="A26" t="s">
        <v>89</v>
      </c>
      <c r="B26">
        <v>25</v>
      </c>
      <c r="C26">
        <v>23</v>
      </c>
      <c r="D26" t="str">
        <f t="shared" si="2"/>
        <v>19-35</v>
      </c>
      <c r="E26" t="str">
        <f t="shared" si="0"/>
        <v>Ok</v>
      </c>
      <c r="F26" t="s">
        <v>8</v>
      </c>
      <c r="G26" t="s">
        <v>257</v>
      </c>
      <c r="H26" s="1">
        <v>44942</v>
      </c>
      <c r="I26" s="1">
        <v>44945</v>
      </c>
      <c r="J26" s="2"/>
      <c r="K26" s="1" t="str">
        <f t="shared" si="1"/>
        <v>missing</v>
      </c>
      <c r="L26"/>
    </row>
    <row r="27" spans="1:12" x14ac:dyDescent="0.25">
      <c r="A27" t="s">
        <v>12</v>
      </c>
      <c r="B27">
        <v>26</v>
      </c>
      <c r="D27" t="str">
        <f t="shared" si="2"/>
        <v>0-18</v>
      </c>
      <c r="E27" t="str">
        <f t="shared" si="0"/>
        <v>Missing</v>
      </c>
      <c r="F27" t="s">
        <v>8</v>
      </c>
      <c r="G27" t="s">
        <v>14</v>
      </c>
      <c r="H27" s="1">
        <v>44954</v>
      </c>
      <c r="I27" s="1">
        <v>44961</v>
      </c>
      <c r="J27" s="2"/>
      <c r="K27" s="1" t="str">
        <f t="shared" si="1"/>
        <v>missing</v>
      </c>
      <c r="L27"/>
    </row>
    <row r="28" spans="1:12" x14ac:dyDescent="0.25">
      <c r="A28" t="s">
        <v>17</v>
      </c>
      <c r="B28">
        <v>27</v>
      </c>
      <c r="D28" t="str">
        <f t="shared" si="2"/>
        <v>0-18</v>
      </c>
      <c r="E28" t="str">
        <f t="shared" si="0"/>
        <v>Missing</v>
      </c>
      <c r="F28" t="s">
        <v>29</v>
      </c>
      <c r="G28" t="s">
        <v>14</v>
      </c>
      <c r="H28" s="1">
        <v>45124</v>
      </c>
      <c r="I28" s="1">
        <v>45130</v>
      </c>
      <c r="J28" s="2"/>
      <c r="K28" s="1" t="str">
        <f t="shared" si="1"/>
        <v>missing</v>
      </c>
      <c r="L28"/>
    </row>
    <row r="29" spans="1:12" x14ac:dyDescent="0.25">
      <c r="A29" t="s">
        <v>96</v>
      </c>
      <c r="B29">
        <v>28</v>
      </c>
      <c r="C29">
        <v>71</v>
      </c>
      <c r="D29" t="str">
        <f t="shared" si="2"/>
        <v>56+</v>
      </c>
      <c r="E29" t="str">
        <f t="shared" si="0"/>
        <v>Ok</v>
      </c>
      <c r="F29" t="s">
        <v>8</v>
      </c>
      <c r="G29" t="s">
        <v>14</v>
      </c>
      <c r="H29" s="1">
        <v>45149</v>
      </c>
      <c r="I29" s="1">
        <v>45157</v>
      </c>
      <c r="J29" s="2"/>
      <c r="K29" s="1" t="str">
        <f t="shared" si="1"/>
        <v>missing</v>
      </c>
      <c r="L29"/>
    </row>
    <row r="30" spans="1:12" x14ac:dyDescent="0.25">
      <c r="A30" t="s">
        <v>99</v>
      </c>
      <c r="B30">
        <v>29</v>
      </c>
      <c r="D30" t="str">
        <f t="shared" si="2"/>
        <v>0-18</v>
      </c>
      <c r="E30" t="str">
        <f t="shared" si="0"/>
        <v>Missing</v>
      </c>
      <c r="F30" t="s">
        <v>8</v>
      </c>
      <c r="G30" t="s">
        <v>45</v>
      </c>
      <c r="H30" s="1">
        <v>45074</v>
      </c>
      <c r="I30" s="1">
        <v>45083</v>
      </c>
      <c r="J30" s="2"/>
      <c r="K30" s="1" t="str">
        <f t="shared" si="1"/>
        <v>missing</v>
      </c>
      <c r="L30"/>
    </row>
    <row r="31" spans="1:12" x14ac:dyDescent="0.25">
      <c r="A31" t="s">
        <v>78</v>
      </c>
      <c r="B31">
        <v>30</v>
      </c>
      <c r="D31" t="str">
        <f t="shared" si="2"/>
        <v>0-18</v>
      </c>
      <c r="E31" t="str">
        <f t="shared" si="0"/>
        <v>Missing</v>
      </c>
      <c r="F31" t="s">
        <v>29</v>
      </c>
      <c r="G31" t="s">
        <v>14</v>
      </c>
      <c r="H31" s="1">
        <v>45216</v>
      </c>
      <c r="I31" s="1">
        <v>45221</v>
      </c>
      <c r="J31" s="2"/>
      <c r="K31" s="1" t="str">
        <f t="shared" si="1"/>
        <v>missing</v>
      </c>
      <c r="L31"/>
    </row>
    <row r="32" spans="1:12" x14ac:dyDescent="0.25">
      <c r="A32" t="s">
        <v>96</v>
      </c>
      <c r="B32">
        <v>31</v>
      </c>
      <c r="D32" t="str">
        <f t="shared" si="2"/>
        <v>0-18</v>
      </c>
      <c r="E32" t="str">
        <f t="shared" si="0"/>
        <v>Missing</v>
      </c>
      <c r="F32" t="s">
        <v>8</v>
      </c>
      <c r="G32" t="s">
        <v>37</v>
      </c>
      <c r="H32" s="1">
        <v>45245</v>
      </c>
      <c r="I32" s="1">
        <v>45249</v>
      </c>
      <c r="J32" s="2"/>
      <c r="K32" s="1" t="str">
        <f t="shared" si="1"/>
        <v>missing</v>
      </c>
      <c r="L32"/>
    </row>
    <row r="33" spans="1:12" x14ac:dyDescent="0.25">
      <c r="A33" t="s">
        <v>105</v>
      </c>
      <c r="B33">
        <v>32</v>
      </c>
      <c r="D33" t="str">
        <f t="shared" si="2"/>
        <v>0-18</v>
      </c>
      <c r="E33" t="str">
        <f t="shared" si="0"/>
        <v>Missing</v>
      </c>
      <c r="F33" t="s">
        <v>29</v>
      </c>
      <c r="G33" t="s">
        <v>257</v>
      </c>
      <c r="H33" s="1">
        <v>45141</v>
      </c>
      <c r="I33" s="1">
        <v>45147</v>
      </c>
      <c r="J33" s="2"/>
      <c r="K33" s="1" t="str">
        <f t="shared" si="1"/>
        <v>missing</v>
      </c>
      <c r="L33"/>
    </row>
    <row r="34" spans="1:12" x14ac:dyDescent="0.25">
      <c r="A34" t="s">
        <v>108</v>
      </c>
      <c r="B34">
        <v>33</v>
      </c>
      <c r="D34" t="str">
        <f t="shared" ref="D34:D65" si="3">IF(C34="Missing","Unknown",
IF(C34&lt;=18,"0-18",
IF(C34&lt;=35,"19-35",
IF(C34&lt;=55,"36-55","56+"))))</f>
        <v>0-18</v>
      </c>
      <c r="E34" t="str">
        <f t="shared" ref="E34:E65" si="4">IF(C34="", "Missing", IF(C34&lt;5, "Check", "Ok"))</f>
        <v>Missing</v>
      </c>
      <c r="F34" t="s">
        <v>29</v>
      </c>
      <c r="G34" t="s">
        <v>25</v>
      </c>
      <c r="H34" s="1">
        <v>45091</v>
      </c>
      <c r="I34" s="1">
        <v>45096</v>
      </c>
      <c r="J34" s="2"/>
      <c r="K34" s="1" t="str">
        <f t="shared" ref="K34:K65" si="5">IF(J34="","missing","ok")</f>
        <v>missing</v>
      </c>
      <c r="L34"/>
    </row>
    <row r="35" spans="1:12" x14ac:dyDescent="0.25">
      <c r="A35" t="s">
        <v>111</v>
      </c>
      <c r="B35">
        <v>34</v>
      </c>
      <c r="D35" t="str">
        <f t="shared" si="3"/>
        <v>0-18</v>
      </c>
      <c r="E35" t="str">
        <f t="shared" si="4"/>
        <v>Missing</v>
      </c>
      <c r="F35" t="s">
        <v>29</v>
      </c>
      <c r="G35" t="s">
        <v>37</v>
      </c>
      <c r="H35" s="1">
        <v>45129</v>
      </c>
      <c r="I35" s="1">
        <v>45134</v>
      </c>
      <c r="J35" s="2">
        <v>23584.75</v>
      </c>
      <c r="K35" s="1" t="str">
        <f t="shared" si="5"/>
        <v>ok</v>
      </c>
      <c r="L35"/>
    </row>
    <row r="36" spans="1:12" x14ac:dyDescent="0.25">
      <c r="A36" t="s">
        <v>114</v>
      </c>
      <c r="B36">
        <v>35</v>
      </c>
      <c r="D36" t="str">
        <f t="shared" si="3"/>
        <v>0-18</v>
      </c>
      <c r="E36" t="str">
        <f t="shared" si="4"/>
        <v>Missing</v>
      </c>
      <c r="F36" t="s">
        <v>29</v>
      </c>
      <c r="G36" t="s">
        <v>25</v>
      </c>
      <c r="H36" s="1">
        <v>45018</v>
      </c>
      <c r="I36" s="1">
        <v>45020</v>
      </c>
      <c r="J36" s="2"/>
      <c r="K36" s="1" t="str">
        <f t="shared" si="5"/>
        <v>missing</v>
      </c>
      <c r="L36"/>
    </row>
    <row r="37" spans="1:12" x14ac:dyDescent="0.25">
      <c r="A37" t="s">
        <v>24</v>
      </c>
      <c r="B37">
        <v>36</v>
      </c>
      <c r="D37" t="str">
        <f t="shared" si="3"/>
        <v>0-18</v>
      </c>
      <c r="E37" t="str">
        <f t="shared" si="4"/>
        <v>Missing</v>
      </c>
      <c r="F37" t="s">
        <v>8</v>
      </c>
      <c r="G37" t="s">
        <v>37</v>
      </c>
      <c r="H37" s="1">
        <v>45008</v>
      </c>
      <c r="I37" s="1">
        <v>45016</v>
      </c>
      <c r="J37" s="2"/>
      <c r="K37" s="1" t="str">
        <f t="shared" si="5"/>
        <v>missing</v>
      </c>
      <c r="L37"/>
    </row>
    <row r="38" spans="1:12" x14ac:dyDescent="0.25">
      <c r="A38" t="s">
        <v>118</v>
      </c>
      <c r="B38">
        <v>37</v>
      </c>
      <c r="C38">
        <v>11</v>
      </c>
      <c r="D38" t="str">
        <f t="shared" si="3"/>
        <v>0-18</v>
      </c>
      <c r="E38" t="str">
        <f t="shared" si="4"/>
        <v>Ok</v>
      </c>
      <c r="F38" t="s">
        <v>8</v>
      </c>
      <c r="G38" t="s">
        <v>45</v>
      </c>
      <c r="H38" s="1">
        <v>45215</v>
      </c>
      <c r="I38" s="1">
        <v>45217</v>
      </c>
      <c r="J38" s="2"/>
      <c r="K38" s="1" t="str">
        <f t="shared" si="5"/>
        <v>missing</v>
      </c>
      <c r="L38"/>
    </row>
    <row r="39" spans="1:12" x14ac:dyDescent="0.25">
      <c r="A39" t="s">
        <v>121</v>
      </c>
      <c r="B39">
        <v>38</v>
      </c>
      <c r="D39" t="str">
        <f t="shared" si="3"/>
        <v>0-18</v>
      </c>
      <c r="E39" t="str">
        <f t="shared" si="4"/>
        <v>Missing</v>
      </c>
      <c r="F39" t="s">
        <v>29</v>
      </c>
      <c r="G39" t="s">
        <v>51</v>
      </c>
      <c r="H39" s="1">
        <v>45199</v>
      </c>
      <c r="I39" s="1">
        <v>45209</v>
      </c>
      <c r="J39" s="2">
        <v>28495.3</v>
      </c>
      <c r="K39" s="1" t="str">
        <f t="shared" si="5"/>
        <v>ok</v>
      </c>
      <c r="L39"/>
    </row>
    <row r="40" spans="1:12" x14ac:dyDescent="0.25">
      <c r="A40" t="s">
        <v>124</v>
      </c>
      <c r="B40">
        <v>39</v>
      </c>
      <c r="C40">
        <v>76</v>
      </c>
      <c r="D40" t="str">
        <f t="shared" si="3"/>
        <v>56+</v>
      </c>
      <c r="E40" t="str">
        <f t="shared" si="4"/>
        <v>Ok</v>
      </c>
      <c r="F40" t="s">
        <v>29</v>
      </c>
      <c r="G40" t="s">
        <v>51</v>
      </c>
      <c r="H40" s="1">
        <v>45117</v>
      </c>
      <c r="I40" s="1">
        <v>45121</v>
      </c>
      <c r="J40" s="2"/>
      <c r="K40" s="1" t="str">
        <f t="shared" si="5"/>
        <v>missing</v>
      </c>
      <c r="L40"/>
    </row>
    <row r="41" spans="1:12" x14ac:dyDescent="0.25">
      <c r="A41" t="s">
        <v>7</v>
      </c>
      <c r="B41">
        <v>40</v>
      </c>
      <c r="C41">
        <v>54</v>
      </c>
      <c r="D41" t="str">
        <f t="shared" si="3"/>
        <v>36-55</v>
      </c>
      <c r="E41" t="str">
        <f t="shared" si="4"/>
        <v>Ok</v>
      </c>
      <c r="F41" t="s">
        <v>29</v>
      </c>
      <c r="G41" t="s">
        <v>51</v>
      </c>
      <c r="H41" s="1">
        <v>45042</v>
      </c>
      <c r="I41" s="1">
        <v>45044</v>
      </c>
      <c r="J41" s="2"/>
      <c r="K41" s="1" t="str">
        <f t="shared" si="5"/>
        <v>missing</v>
      </c>
      <c r="L41"/>
    </row>
    <row r="42" spans="1:12" x14ac:dyDescent="0.25">
      <c r="A42" t="s">
        <v>86</v>
      </c>
      <c r="B42">
        <v>41</v>
      </c>
      <c r="D42" t="str">
        <f t="shared" si="3"/>
        <v>0-18</v>
      </c>
      <c r="E42" t="str">
        <f t="shared" si="4"/>
        <v>Missing</v>
      </c>
      <c r="F42" t="s">
        <v>8</v>
      </c>
      <c r="G42" t="s">
        <v>14</v>
      </c>
      <c r="H42" s="1">
        <v>45286</v>
      </c>
      <c r="I42" s="1">
        <v>45295</v>
      </c>
      <c r="J42" s="2"/>
      <c r="K42" s="1" t="str">
        <f t="shared" si="5"/>
        <v>missing</v>
      </c>
      <c r="L42"/>
    </row>
    <row r="43" spans="1:12" x14ac:dyDescent="0.25">
      <c r="A43" t="s">
        <v>131</v>
      </c>
      <c r="B43">
        <v>42</v>
      </c>
      <c r="C43">
        <v>40</v>
      </c>
      <c r="D43" t="str">
        <f t="shared" si="3"/>
        <v>36-55</v>
      </c>
      <c r="E43" t="str">
        <f t="shared" si="4"/>
        <v>Ok</v>
      </c>
      <c r="F43" t="s">
        <v>29</v>
      </c>
      <c r="G43" t="s">
        <v>37</v>
      </c>
      <c r="H43" s="1">
        <v>45277</v>
      </c>
      <c r="I43" s="1">
        <v>45282</v>
      </c>
      <c r="J43" s="2"/>
      <c r="K43" s="1" t="str">
        <f t="shared" si="5"/>
        <v>missing</v>
      </c>
      <c r="L43"/>
    </row>
    <row r="44" spans="1:12" x14ac:dyDescent="0.25">
      <c r="A44" t="s">
        <v>134</v>
      </c>
      <c r="B44">
        <v>43</v>
      </c>
      <c r="D44" t="str">
        <f t="shared" si="3"/>
        <v>0-18</v>
      </c>
      <c r="E44" t="str">
        <f t="shared" si="4"/>
        <v>Missing</v>
      </c>
      <c r="F44" t="s">
        <v>29</v>
      </c>
      <c r="G44" t="s">
        <v>25</v>
      </c>
      <c r="H44" s="1">
        <v>45078</v>
      </c>
      <c r="I44" s="1">
        <v>45086</v>
      </c>
      <c r="J44" s="2"/>
      <c r="K44" s="1" t="str">
        <f t="shared" si="5"/>
        <v>missing</v>
      </c>
      <c r="L44"/>
    </row>
    <row r="45" spans="1:12" x14ac:dyDescent="0.25">
      <c r="A45" t="s">
        <v>137</v>
      </c>
      <c r="B45">
        <v>44</v>
      </c>
      <c r="C45">
        <v>61</v>
      </c>
      <c r="D45" t="str">
        <f t="shared" si="3"/>
        <v>56+</v>
      </c>
      <c r="E45" t="str">
        <f t="shared" si="4"/>
        <v>Ok</v>
      </c>
      <c r="F45" t="s">
        <v>8</v>
      </c>
      <c r="G45" t="s">
        <v>14</v>
      </c>
      <c r="H45" s="1">
        <v>45068</v>
      </c>
      <c r="I45" s="1">
        <v>45072</v>
      </c>
      <c r="J45" s="2">
        <v>13591.42</v>
      </c>
      <c r="K45" s="1" t="str">
        <f t="shared" si="5"/>
        <v>ok</v>
      </c>
      <c r="L45"/>
    </row>
    <row r="46" spans="1:12" x14ac:dyDescent="0.25">
      <c r="A46" t="s">
        <v>114</v>
      </c>
      <c r="B46">
        <v>45</v>
      </c>
      <c r="D46" t="str">
        <f t="shared" si="3"/>
        <v>0-18</v>
      </c>
      <c r="E46" t="str">
        <f t="shared" si="4"/>
        <v>Missing</v>
      </c>
      <c r="F46" t="s">
        <v>29</v>
      </c>
      <c r="G46" t="s">
        <v>25</v>
      </c>
      <c r="H46" s="1">
        <v>45007</v>
      </c>
      <c r="I46" s="1">
        <v>45016</v>
      </c>
      <c r="J46" s="2">
        <v>7585.24</v>
      </c>
      <c r="K46" s="1" t="str">
        <f t="shared" si="5"/>
        <v>ok</v>
      </c>
      <c r="L46"/>
    </row>
    <row r="47" spans="1:12" x14ac:dyDescent="0.25">
      <c r="A47" t="s">
        <v>89</v>
      </c>
      <c r="B47">
        <v>46</v>
      </c>
      <c r="D47" t="str">
        <f t="shared" si="3"/>
        <v>0-18</v>
      </c>
      <c r="E47" t="str">
        <f t="shared" si="4"/>
        <v>Missing</v>
      </c>
      <c r="F47" t="s">
        <v>8</v>
      </c>
      <c r="G47" t="s">
        <v>37</v>
      </c>
      <c r="H47" s="1">
        <v>44955</v>
      </c>
      <c r="I47" s="1">
        <v>44962</v>
      </c>
      <c r="J47" s="2">
        <v>26958.42</v>
      </c>
      <c r="K47" s="1" t="str">
        <f t="shared" si="5"/>
        <v>ok</v>
      </c>
      <c r="L47"/>
    </row>
    <row r="48" spans="1:12" x14ac:dyDescent="0.25">
      <c r="A48" t="s">
        <v>137</v>
      </c>
      <c r="B48">
        <v>47</v>
      </c>
      <c r="C48">
        <v>48</v>
      </c>
      <c r="D48" t="str">
        <f t="shared" si="3"/>
        <v>36-55</v>
      </c>
      <c r="E48" t="str">
        <f t="shared" si="4"/>
        <v>Ok</v>
      </c>
      <c r="F48" t="s">
        <v>8</v>
      </c>
      <c r="G48" t="s">
        <v>45</v>
      </c>
      <c r="H48" s="1">
        <v>45251</v>
      </c>
      <c r="I48" s="1">
        <v>45258</v>
      </c>
      <c r="J48" s="2">
        <v>24199.17</v>
      </c>
      <c r="K48" s="1" t="str">
        <f t="shared" si="5"/>
        <v>ok</v>
      </c>
      <c r="L48"/>
    </row>
    <row r="49" spans="1:12" x14ac:dyDescent="0.25">
      <c r="A49" t="s">
        <v>21</v>
      </c>
      <c r="B49">
        <v>48</v>
      </c>
      <c r="D49" t="str">
        <f t="shared" si="3"/>
        <v>0-18</v>
      </c>
      <c r="E49" t="str">
        <f t="shared" si="4"/>
        <v>Missing</v>
      </c>
      <c r="F49" t="s">
        <v>8</v>
      </c>
      <c r="G49" t="s">
        <v>257</v>
      </c>
      <c r="H49" s="1">
        <v>44942</v>
      </c>
      <c r="I49" s="1">
        <v>44946</v>
      </c>
      <c r="J49" s="2">
        <v>2356.3000000000002</v>
      </c>
      <c r="K49" s="1" t="str">
        <f t="shared" si="5"/>
        <v>ok</v>
      </c>
      <c r="L49"/>
    </row>
    <row r="50" spans="1:12" x14ac:dyDescent="0.25">
      <c r="A50" t="s">
        <v>146</v>
      </c>
      <c r="B50">
        <v>49</v>
      </c>
      <c r="C50">
        <v>24</v>
      </c>
      <c r="D50" t="str">
        <f t="shared" si="3"/>
        <v>19-35</v>
      </c>
      <c r="E50" t="str">
        <f t="shared" si="4"/>
        <v>Ok</v>
      </c>
      <c r="F50" t="s">
        <v>8</v>
      </c>
      <c r="G50" t="s">
        <v>45</v>
      </c>
      <c r="H50" s="1">
        <v>45279</v>
      </c>
      <c r="I50" s="1">
        <v>45283</v>
      </c>
      <c r="J50" s="2"/>
      <c r="K50" s="1" t="str">
        <f t="shared" si="5"/>
        <v>missing</v>
      </c>
      <c r="L50"/>
    </row>
    <row r="51" spans="1:12" x14ac:dyDescent="0.25">
      <c r="A51" t="s">
        <v>35</v>
      </c>
      <c r="B51">
        <v>50</v>
      </c>
      <c r="C51">
        <v>51</v>
      </c>
      <c r="D51" t="str">
        <f t="shared" si="3"/>
        <v>36-55</v>
      </c>
      <c r="E51" t="str">
        <f t="shared" si="4"/>
        <v>Ok</v>
      </c>
      <c r="F51" t="s">
        <v>29</v>
      </c>
      <c r="G51" t="s">
        <v>37</v>
      </c>
      <c r="H51" s="1">
        <v>45097</v>
      </c>
      <c r="I51" s="1">
        <v>45099</v>
      </c>
      <c r="J51" s="2"/>
      <c r="K51" s="1" t="str">
        <f t="shared" si="5"/>
        <v>missing</v>
      </c>
      <c r="L51"/>
    </row>
    <row r="52" spans="1:12" x14ac:dyDescent="0.25">
      <c r="A52" t="s">
        <v>151</v>
      </c>
      <c r="B52">
        <v>51</v>
      </c>
      <c r="C52">
        <v>66</v>
      </c>
      <c r="D52" t="str">
        <f t="shared" si="3"/>
        <v>56+</v>
      </c>
      <c r="E52" t="str">
        <f t="shared" si="4"/>
        <v>Ok</v>
      </c>
      <c r="F52" t="s">
        <v>29</v>
      </c>
      <c r="G52" t="s">
        <v>14</v>
      </c>
      <c r="H52" s="1">
        <v>44971</v>
      </c>
      <c r="I52" s="1">
        <v>44976</v>
      </c>
      <c r="J52" s="2"/>
      <c r="K52" s="1" t="str">
        <f t="shared" si="5"/>
        <v>missing</v>
      </c>
      <c r="L52"/>
    </row>
    <row r="53" spans="1:12" x14ac:dyDescent="0.25">
      <c r="A53" t="s">
        <v>63</v>
      </c>
      <c r="B53">
        <v>52</v>
      </c>
      <c r="D53" t="str">
        <f t="shared" si="3"/>
        <v>0-18</v>
      </c>
      <c r="E53" t="str">
        <f t="shared" si="4"/>
        <v>Missing</v>
      </c>
      <c r="F53" t="s">
        <v>8</v>
      </c>
      <c r="G53" t="s">
        <v>257</v>
      </c>
      <c r="H53" s="1">
        <v>45225</v>
      </c>
      <c r="I53" s="1">
        <v>45234</v>
      </c>
      <c r="J53" s="2"/>
      <c r="K53" s="1" t="str">
        <f t="shared" si="5"/>
        <v>missing</v>
      </c>
      <c r="L53"/>
    </row>
    <row r="54" spans="1:12" x14ac:dyDescent="0.25">
      <c r="A54" t="s">
        <v>156</v>
      </c>
      <c r="B54">
        <v>53</v>
      </c>
      <c r="C54">
        <v>22</v>
      </c>
      <c r="D54" t="str">
        <f t="shared" si="3"/>
        <v>19-35</v>
      </c>
      <c r="E54" t="str">
        <f t="shared" si="4"/>
        <v>Ok</v>
      </c>
      <c r="F54" t="s">
        <v>8</v>
      </c>
      <c r="G54" t="s">
        <v>14</v>
      </c>
      <c r="H54" s="1">
        <v>44958</v>
      </c>
      <c r="I54" s="1">
        <v>44964</v>
      </c>
      <c r="J54" s="2"/>
      <c r="K54" s="1" t="str">
        <f t="shared" si="5"/>
        <v>missing</v>
      </c>
      <c r="L54"/>
    </row>
    <row r="55" spans="1:12" x14ac:dyDescent="0.25">
      <c r="A55" t="s">
        <v>159</v>
      </c>
      <c r="B55">
        <v>54</v>
      </c>
      <c r="C55">
        <v>5</v>
      </c>
      <c r="D55" t="str">
        <f t="shared" si="3"/>
        <v>0-18</v>
      </c>
      <c r="E55" t="str">
        <f t="shared" si="4"/>
        <v>Ok</v>
      </c>
      <c r="F55" t="s">
        <v>8</v>
      </c>
      <c r="G55" t="s">
        <v>25</v>
      </c>
      <c r="H55" s="1">
        <v>45230</v>
      </c>
      <c r="I55" s="1">
        <v>45233</v>
      </c>
      <c r="J55" s="2"/>
      <c r="K55" s="1" t="str">
        <f t="shared" si="5"/>
        <v>missing</v>
      </c>
      <c r="L55"/>
    </row>
    <row r="56" spans="1:12" x14ac:dyDescent="0.25">
      <c r="A56" t="s">
        <v>162</v>
      </c>
      <c r="B56">
        <v>55</v>
      </c>
      <c r="D56" t="str">
        <f t="shared" si="3"/>
        <v>0-18</v>
      </c>
      <c r="E56" t="str">
        <f t="shared" si="4"/>
        <v>Missing</v>
      </c>
      <c r="F56" t="s">
        <v>29</v>
      </c>
      <c r="G56" t="s">
        <v>45</v>
      </c>
      <c r="H56" s="1">
        <v>45108</v>
      </c>
      <c r="I56" s="1">
        <v>45112</v>
      </c>
      <c r="J56" s="2">
        <v>42643.49</v>
      </c>
      <c r="K56" s="1" t="str">
        <f t="shared" si="5"/>
        <v>ok</v>
      </c>
      <c r="L56"/>
    </row>
    <row r="57" spans="1:12" x14ac:dyDescent="0.25">
      <c r="A57" t="s">
        <v>165</v>
      </c>
      <c r="B57">
        <v>56</v>
      </c>
      <c r="D57" t="str">
        <f t="shared" si="3"/>
        <v>0-18</v>
      </c>
      <c r="E57" t="str">
        <f t="shared" si="4"/>
        <v>Missing</v>
      </c>
      <c r="F57" t="s">
        <v>29</v>
      </c>
      <c r="G57" t="s">
        <v>37</v>
      </c>
      <c r="H57" s="1">
        <v>45149</v>
      </c>
      <c r="I57" s="1">
        <v>45153</v>
      </c>
      <c r="J57" s="2"/>
      <c r="K57" s="1" t="str">
        <f t="shared" si="5"/>
        <v>missing</v>
      </c>
      <c r="L57"/>
    </row>
    <row r="58" spans="1:12" x14ac:dyDescent="0.25">
      <c r="A58" t="s">
        <v>7</v>
      </c>
      <c r="B58">
        <v>57</v>
      </c>
      <c r="C58">
        <v>62</v>
      </c>
      <c r="D58" t="str">
        <f t="shared" si="3"/>
        <v>56+</v>
      </c>
      <c r="E58" t="str">
        <f t="shared" si="4"/>
        <v>Ok</v>
      </c>
      <c r="F58" t="s">
        <v>29</v>
      </c>
      <c r="G58" t="s">
        <v>37</v>
      </c>
      <c r="H58" s="1">
        <v>44985</v>
      </c>
      <c r="I58" s="1">
        <v>44986</v>
      </c>
      <c r="J58" s="2">
        <v>39034.699999999997</v>
      </c>
      <c r="K58" s="1" t="str">
        <f t="shared" si="5"/>
        <v>ok</v>
      </c>
      <c r="L58"/>
    </row>
    <row r="59" spans="1:12" x14ac:dyDescent="0.25">
      <c r="A59" t="s">
        <v>12</v>
      </c>
      <c r="B59">
        <v>58</v>
      </c>
      <c r="D59" t="str">
        <f t="shared" si="3"/>
        <v>0-18</v>
      </c>
      <c r="E59" t="str">
        <f t="shared" si="4"/>
        <v>Missing</v>
      </c>
      <c r="F59" t="s">
        <v>8</v>
      </c>
      <c r="G59" t="s">
        <v>14</v>
      </c>
      <c r="H59" s="1">
        <v>44951</v>
      </c>
      <c r="I59" s="1">
        <v>44952</v>
      </c>
      <c r="J59" s="2"/>
      <c r="K59" s="1" t="str">
        <f t="shared" si="5"/>
        <v>missing</v>
      </c>
      <c r="L59"/>
    </row>
    <row r="60" spans="1:12" x14ac:dyDescent="0.25">
      <c r="A60" t="s">
        <v>105</v>
      </c>
      <c r="B60">
        <v>59</v>
      </c>
      <c r="D60" t="str">
        <f t="shared" si="3"/>
        <v>0-18</v>
      </c>
      <c r="E60" t="str">
        <f t="shared" si="4"/>
        <v>Missing</v>
      </c>
      <c r="F60" t="s">
        <v>29</v>
      </c>
      <c r="G60" t="s">
        <v>45</v>
      </c>
      <c r="H60" s="1">
        <v>44943</v>
      </c>
      <c r="I60" s="1">
        <v>44953</v>
      </c>
      <c r="J60" s="2"/>
      <c r="K60" s="1" t="str">
        <f t="shared" si="5"/>
        <v>missing</v>
      </c>
      <c r="L60"/>
    </row>
    <row r="61" spans="1:12" x14ac:dyDescent="0.25">
      <c r="A61" t="s">
        <v>99</v>
      </c>
      <c r="B61">
        <v>60</v>
      </c>
      <c r="D61" t="str">
        <f t="shared" si="3"/>
        <v>0-18</v>
      </c>
      <c r="E61" t="str">
        <f t="shared" si="4"/>
        <v>Missing</v>
      </c>
      <c r="F61" t="s">
        <v>8</v>
      </c>
      <c r="G61" t="s">
        <v>45</v>
      </c>
      <c r="H61" s="1">
        <v>45133</v>
      </c>
      <c r="I61" s="1">
        <v>45142</v>
      </c>
      <c r="J61" s="2">
        <v>35337.75</v>
      </c>
      <c r="K61" s="1" t="str">
        <f t="shared" si="5"/>
        <v>ok</v>
      </c>
      <c r="L61"/>
    </row>
    <row r="62" spans="1:12" x14ac:dyDescent="0.25">
      <c r="A62" t="s">
        <v>99</v>
      </c>
      <c r="B62">
        <v>61</v>
      </c>
      <c r="D62" t="str">
        <f t="shared" si="3"/>
        <v>0-18</v>
      </c>
      <c r="E62" t="str">
        <f t="shared" si="4"/>
        <v>Missing</v>
      </c>
      <c r="F62" t="s">
        <v>8</v>
      </c>
      <c r="G62" t="s">
        <v>51</v>
      </c>
      <c r="H62" s="1">
        <v>45171</v>
      </c>
      <c r="I62" s="1">
        <v>45174</v>
      </c>
      <c r="J62" s="2">
        <v>3511.23</v>
      </c>
      <c r="K62" s="1" t="str">
        <f t="shared" si="5"/>
        <v>ok</v>
      </c>
      <c r="L62"/>
    </row>
    <row r="63" spans="1:12" x14ac:dyDescent="0.25">
      <c r="A63" t="s">
        <v>151</v>
      </c>
      <c r="B63">
        <v>62</v>
      </c>
      <c r="D63" t="str">
        <f t="shared" si="3"/>
        <v>0-18</v>
      </c>
      <c r="E63" t="str">
        <f t="shared" si="4"/>
        <v>Missing</v>
      </c>
      <c r="F63" t="s">
        <v>29</v>
      </c>
      <c r="G63" t="s">
        <v>37</v>
      </c>
      <c r="H63" s="1">
        <v>45124</v>
      </c>
      <c r="I63" s="1">
        <v>45134</v>
      </c>
      <c r="J63" s="2"/>
      <c r="K63" s="1" t="str">
        <f t="shared" si="5"/>
        <v>missing</v>
      </c>
      <c r="L63"/>
    </row>
    <row r="64" spans="1:12" x14ac:dyDescent="0.25">
      <c r="A64" t="s">
        <v>111</v>
      </c>
      <c r="B64">
        <v>63</v>
      </c>
      <c r="C64">
        <v>68</v>
      </c>
      <c r="D64" t="str">
        <f t="shared" si="3"/>
        <v>56+</v>
      </c>
      <c r="E64" t="str">
        <f t="shared" si="4"/>
        <v>Ok</v>
      </c>
      <c r="F64" t="s">
        <v>29</v>
      </c>
      <c r="G64" t="s">
        <v>14</v>
      </c>
      <c r="H64" s="1">
        <v>44995</v>
      </c>
      <c r="I64" s="1">
        <v>45004</v>
      </c>
      <c r="J64" s="2">
        <v>9456.41</v>
      </c>
      <c r="K64" s="1" t="str">
        <f t="shared" si="5"/>
        <v>ok</v>
      </c>
      <c r="L64"/>
    </row>
    <row r="65" spans="1:12" x14ac:dyDescent="0.25">
      <c r="A65" t="s">
        <v>32</v>
      </c>
      <c r="B65">
        <v>64</v>
      </c>
      <c r="D65" t="str">
        <f t="shared" si="3"/>
        <v>0-18</v>
      </c>
      <c r="E65" t="str">
        <f t="shared" si="4"/>
        <v>Missing</v>
      </c>
      <c r="F65" t="s">
        <v>8</v>
      </c>
      <c r="G65" t="s">
        <v>37</v>
      </c>
      <c r="H65" s="1">
        <v>45003</v>
      </c>
      <c r="I65" s="1">
        <v>45013</v>
      </c>
      <c r="J65" s="2">
        <v>45295.77</v>
      </c>
      <c r="K65" s="1" t="str">
        <f t="shared" si="5"/>
        <v>ok</v>
      </c>
      <c r="L65"/>
    </row>
    <row r="66" spans="1:12" x14ac:dyDescent="0.25">
      <c r="A66" t="s">
        <v>66</v>
      </c>
      <c r="B66">
        <v>65</v>
      </c>
      <c r="D66" t="str">
        <f t="shared" ref="D66:D97" si="6">IF(C66="Missing","Unknown",
IF(C66&lt;=18,"0-18",
IF(C66&lt;=35,"19-35",
IF(C66&lt;=55,"36-55","56+"))))</f>
        <v>0-18</v>
      </c>
      <c r="E66" t="str">
        <f t="shared" ref="E66:E97" si="7">IF(C66="", "Missing", IF(C66&lt;5, "Check", "Ok"))</f>
        <v>Missing</v>
      </c>
      <c r="F66" t="s">
        <v>8</v>
      </c>
      <c r="G66" t="s">
        <v>37</v>
      </c>
      <c r="H66" s="1">
        <v>45215</v>
      </c>
      <c r="I66" s="1">
        <v>45216</v>
      </c>
      <c r="J66" s="2"/>
      <c r="K66" s="1" t="str">
        <f t="shared" ref="K66:K97" si="8">IF(J66="","missing","ok")</f>
        <v>missing</v>
      </c>
      <c r="L66"/>
    </row>
    <row r="67" spans="1:12" x14ac:dyDescent="0.25">
      <c r="A67" t="s">
        <v>54</v>
      </c>
      <c r="B67">
        <v>66</v>
      </c>
      <c r="D67" t="str">
        <f t="shared" si="6"/>
        <v>0-18</v>
      </c>
      <c r="E67" t="str">
        <f t="shared" si="7"/>
        <v>Missing</v>
      </c>
      <c r="F67" t="s">
        <v>29</v>
      </c>
      <c r="G67" t="s">
        <v>37</v>
      </c>
      <c r="H67" s="1">
        <v>45228</v>
      </c>
      <c r="I67" s="1">
        <v>45237</v>
      </c>
      <c r="J67" s="2"/>
      <c r="K67" s="1" t="str">
        <f t="shared" si="8"/>
        <v>missing</v>
      </c>
      <c r="L67"/>
    </row>
    <row r="68" spans="1:12" x14ac:dyDescent="0.25">
      <c r="A68" t="s">
        <v>118</v>
      </c>
      <c r="B68">
        <v>67</v>
      </c>
      <c r="C68">
        <v>45</v>
      </c>
      <c r="D68" t="str">
        <f t="shared" si="6"/>
        <v>36-55</v>
      </c>
      <c r="E68" t="str">
        <f t="shared" si="7"/>
        <v>Ok</v>
      </c>
      <c r="F68" t="s">
        <v>8</v>
      </c>
      <c r="G68" t="s">
        <v>37</v>
      </c>
      <c r="H68" s="1">
        <v>45085</v>
      </c>
      <c r="I68" s="1">
        <v>45095</v>
      </c>
      <c r="J68" s="2"/>
      <c r="K68" s="1" t="str">
        <f t="shared" si="8"/>
        <v>missing</v>
      </c>
      <c r="L68"/>
    </row>
    <row r="69" spans="1:12" x14ac:dyDescent="0.25">
      <c r="A69" t="s">
        <v>159</v>
      </c>
      <c r="B69">
        <v>68</v>
      </c>
      <c r="C69">
        <v>75</v>
      </c>
      <c r="D69" t="str">
        <f t="shared" si="6"/>
        <v>56+</v>
      </c>
      <c r="E69" t="str">
        <f t="shared" si="7"/>
        <v>Ok</v>
      </c>
      <c r="F69" t="s">
        <v>8</v>
      </c>
      <c r="G69" t="s">
        <v>37</v>
      </c>
      <c r="H69" s="1">
        <v>45189</v>
      </c>
      <c r="I69" s="1">
        <v>45191</v>
      </c>
      <c r="J69" s="2">
        <v>48829.91</v>
      </c>
      <c r="K69" s="1" t="str">
        <f t="shared" si="8"/>
        <v>ok</v>
      </c>
      <c r="L69"/>
    </row>
    <row r="70" spans="1:12" x14ac:dyDescent="0.25">
      <c r="A70" t="s">
        <v>146</v>
      </c>
      <c r="B70">
        <v>69</v>
      </c>
      <c r="D70" t="str">
        <f t="shared" si="6"/>
        <v>0-18</v>
      </c>
      <c r="E70" t="str">
        <f t="shared" si="7"/>
        <v>Missing</v>
      </c>
      <c r="F70" t="s">
        <v>8</v>
      </c>
      <c r="G70" t="s">
        <v>37</v>
      </c>
      <c r="H70" s="1">
        <v>44970</v>
      </c>
      <c r="I70" s="1">
        <v>44971</v>
      </c>
      <c r="J70" s="2"/>
      <c r="K70" s="1" t="str">
        <f t="shared" si="8"/>
        <v>missing</v>
      </c>
      <c r="L70"/>
    </row>
    <row r="71" spans="1:12" x14ac:dyDescent="0.25">
      <c r="A71" t="s">
        <v>124</v>
      </c>
      <c r="B71">
        <v>70</v>
      </c>
      <c r="D71" t="str">
        <f t="shared" si="6"/>
        <v>0-18</v>
      </c>
      <c r="E71" t="str">
        <f t="shared" si="7"/>
        <v>Missing</v>
      </c>
      <c r="F71" t="s">
        <v>29</v>
      </c>
      <c r="G71" t="s">
        <v>257</v>
      </c>
      <c r="H71" s="1">
        <v>45059</v>
      </c>
      <c r="I71" s="1">
        <v>45061</v>
      </c>
      <c r="J71" s="2"/>
      <c r="K71" s="1" t="str">
        <f t="shared" si="8"/>
        <v>missing</v>
      </c>
      <c r="L71"/>
    </row>
    <row r="72" spans="1:12" x14ac:dyDescent="0.25">
      <c r="A72" t="s">
        <v>17</v>
      </c>
      <c r="B72">
        <v>71</v>
      </c>
      <c r="D72" t="str">
        <f t="shared" si="6"/>
        <v>0-18</v>
      </c>
      <c r="E72" t="str">
        <f t="shared" si="7"/>
        <v>Missing</v>
      </c>
      <c r="F72" t="s">
        <v>29</v>
      </c>
      <c r="G72" t="s">
        <v>25</v>
      </c>
      <c r="H72" s="1">
        <v>44981</v>
      </c>
      <c r="I72" s="1">
        <v>44987</v>
      </c>
      <c r="J72" s="2"/>
      <c r="K72" s="1" t="str">
        <f t="shared" si="8"/>
        <v>missing</v>
      </c>
      <c r="L72"/>
    </row>
    <row r="73" spans="1:12" x14ac:dyDescent="0.25">
      <c r="A73" t="s">
        <v>40</v>
      </c>
      <c r="B73">
        <v>72</v>
      </c>
      <c r="C73">
        <v>71</v>
      </c>
      <c r="D73" t="str">
        <f t="shared" si="6"/>
        <v>56+</v>
      </c>
      <c r="E73" t="str">
        <f t="shared" si="7"/>
        <v>Ok</v>
      </c>
      <c r="F73" t="s">
        <v>29</v>
      </c>
      <c r="G73" t="s">
        <v>51</v>
      </c>
      <c r="H73" s="1">
        <v>45223</v>
      </c>
      <c r="I73" s="1">
        <v>45229</v>
      </c>
      <c r="J73" s="2"/>
      <c r="K73" s="1" t="str">
        <f t="shared" si="8"/>
        <v>missing</v>
      </c>
      <c r="L73"/>
    </row>
    <row r="74" spans="1:12" x14ac:dyDescent="0.25">
      <c r="A74" t="s">
        <v>197</v>
      </c>
      <c r="B74">
        <v>73</v>
      </c>
      <c r="C74">
        <v>77</v>
      </c>
      <c r="D74" t="str">
        <f t="shared" si="6"/>
        <v>56+</v>
      </c>
      <c r="E74" t="str">
        <f t="shared" si="7"/>
        <v>Ok</v>
      </c>
      <c r="F74" t="s">
        <v>8</v>
      </c>
      <c r="G74" t="s">
        <v>257</v>
      </c>
      <c r="H74" s="1">
        <v>45158</v>
      </c>
      <c r="I74" s="1">
        <v>45160</v>
      </c>
      <c r="J74" s="2"/>
      <c r="K74" s="1" t="str">
        <f t="shared" si="8"/>
        <v>missing</v>
      </c>
      <c r="L74"/>
    </row>
    <row r="75" spans="1:12" x14ac:dyDescent="0.25">
      <c r="A75" t="s">
        <v>137</v>
      </c>
      <c r="B75">
        <v>74</v>
      </c>
      <c r="C75">
        <v>39</v>
      </c>
      <c r="D75" t="str">
        <f t="shared" si="6"/>
        <v>36-55</v>
      </c>
      <c r="E75" t="str">
        <f t="shared" si="7"/>
        <v>Ok</v>
      </c>
      <c r="F75" t="s">
        <v>8</v>
      </c>
      <c r="G75" t="s">
        <v>51</v>
      </c>
      <c r="H75" s="1">
        <v>45000</v>
      </c>
      <c r="I75" s="1">
        <v>45005</v>
      </c>
      <c r="J75" s="2"/>
      <c r="K75" s="1" t="str">
        <f t="shared" si="8"/>
        <v>missing</v>
      </c>
      <c r="L75"/>
    </row>
    <row r="76" spans="1:12" x14ac:dyDescent="0.25">
      <c r="A76" t="s">
        <v>99</v>
      </c>
      <c r="B76">
        <v>75</v>
      </c>
      <c r="D76" t="str">
        <f t="shared" si="6"/>
        <v>0-18</v>
      </c>
      <c r="E76" t="str">
        <f t="shared" si="7"/>
        <v>Missing</v>
      </c>
      <c r="F76" t="s">
        <v>8</v>
      </c>
      <c r="G76" t="s">
        <v>25</v>
      </c>
      <c r="H76" s="1">
        <v>45185</v>
      </c>
      <c r="I76" s="1">
        <v>45191</v>
      </c>
      <c r="J76" s="2">
        <v>38280</v>
      </c>
      <c r="K76" s="1" t="str">
        <f t="shared" si="8"/>
        <v>ok</v>
      </c>
      <c r="L76"/>
    </row>
    <row r="77" spans="1:12" x14ac:dyDescent="0.25">
      <c r="A77" t="s">
        <v>197</v>
      </c>
      <c r="B77">
        <v>76</v>
      </c>
      <c r="C77">
        <v>26</v>
      </c>
      <c r="D77" t="str">
        <f t="shared" si="6"/>
        <v>19-35</v>
      </c>
      <c r="E77" t="str">
        <f t="shared" si="7"/>
        <v>Ok</v>
      </c>
      <c r="F77" t="s">
        <v>8</v>
      </c>
      <c r="G77" t="s">
        <v>37</v>
      </c>
      <c r="H77" s="1">
        <v>44955</v>
      </c>
      <c r="I77" s="1">
        <v>44962</v>
      </c>
      <c r="J77" s="2"/>
      <c r="K77" s="1" t="str">
        <f t="shared" si="8"/>
        <v>missing</v>
      </c>
      <c r="L77"/>
    </row>
    <row r="78" spans="1:12" x14ac:dyDescent="0.25">
      <c r="A78" t="s">
        <v>66</v>
      </c>
      <c r="B78">
        <v>77</v>
      </c>
      <c r="D78" t="str">
        <f t="shared" si="6"/>
        <v>0-18</v>
      </c>
      <c r="E78" t="str">
        <f t="shared" si="7"/>
        <v>Missing</v>
      </c>
      <c r="F78" t="s">
        <v>8</v>
      </c>
      <c r="G78" t="s">
        <v>51</v>
      </c>
      <c r="H78" s="1">
        <v>45127</v>
      </c>
      <c r="I78" s="1">
        <v>45136</v>
      </c>
      <c r="J78" s="2">
        <v>31318.61</v>
      </c>
      <c r="K78" s="1" t="str">
        <f t="shared" si="8"/>
        <v>ok</v>
      </c>
      <c r="L78"/>
    </row>
    <row r="79" spans="1:12" x14ac:dyDescent="0.25">
      <c r="A79" t="s">
        <v>162</v>
      </c>
      <c r="B79">
        <v>78</v>
      </c>
      <c r="D79" t="str">
        <f t="shared" si="6"/>
        <v>0-18</v>
      </c>
      <c r="E79" t="str">
        <f t="shared" si="7"/>
        <v>Missing</v>
      </c>
      <c r="F79" t="s">
        <v>29</v>
      </c>
      <c r="G79" t="s">
        <v>25</v>
      </c>
      <c r="H79" s="1">
        <v>44956</v>
      </c>
      <c r="I79" s="1">
        <v>44966</v>
      </c>
      <c r="J79" s="2"/>
      <c r="K79" s="1" t="str">
        <f t="shared" si="8"/>
        <v>missing</v>
      </c>
      <c r="L79"/>
    </row>
    <row r="80" spans="1:12" x14ac:dyDescent="0.25">
      <c r="A80" t="s">
        <v>7</v>
      </c>
      <c r="B80">
        <v>79</v>
      </c>
      <c r="D80" t="str">
        <f t="shared" si="6"/>
        <v>0-18</v>
      </c>
      <c r="E80" t="str">
        <f t="shared" si="7"/>
        <v>Missing</v>
      </c>
      <c r="F80" t="s">
        <v>29</v>
      </c>
      <c r="G80" t="s">
        <v>37</v>
      </c>
      <c r="H80" s="1">
        <v>44979</v>
      </c>
      <c r="I80" s="1">
        <v>44983</v>
      </c>
      <c r="J80" s="2"/>
      <c r="K80" s="1" t="str">
        <f t="shared" si="8"/>
        <v>missing</v>
      </c>
      <c r="L80"/>
    </row>
    <row r="81" spans="1:12" x14ac:dyDescent="0.25">
      <c r="A81" t="s">
        <v>211</v>
      </c>
      <c r="B81">
        <v>80</v>
      </c>
      <c r="C81">
        <v>47</v>
      </c>
      <c r="D81" t="str">
        <f t="shared" si="6"/>
        <v>36-55</v>
      </c>
      <c r="E81" t="str">
        <f t="shared" si="7"/>
        <v>Ok</v>
      </c>
      <c r="F81" t="s">
        <v>29</v>
      </c>
      <c r="G81" t="s">
        <v>45</v>
      </c>
      <c r="H81" s="1">
        <v>45138</v>
      </c>
      <c r="I81" s="1">
        <v>45142</v>
      </c>
      <c r="J81" s="2">
        <v>14974.84</v>
      </c>
      <c r="K81" s="1" t="str">
        <f t="shared" si="8"/>
        <v>ok</v>
      </c>
      <c r="L81"/>
    </row>
    <row r="82" spans="1:12" x14ac:dyDescent="0.25">
      <c r="A82" t="s">
        <v>75</v>
      </c>
      <c r="B82">
        <v>81</v>
      </c>
      <c r="D82" t="str">
        <f t="shared" si="6"/>
        <v>0-18</v>
      </c>
      <c r="E82" t="str">
        <f t="shared" si="7"/>
        <v>Missing</v>
      </c>
      <c r="F82" t="s">
        <v>29</v>
      </c>
      <c r="G82" t="s">
        <v>37</v>
      </c>
      <c r="H82" s="1">
        <v>45117</v>
      </c>
      <c r="I82" s="1">
        <v>45122</v>
      </c>
      <c r="J82" s="2">
        <v>19983.060000000001</v>
      </c>
      <c r="K82" s="1" t="str">
        <f t="shared" si="8"/>
        <v>ok</v>
      </c>
      <c r="L82"/>
    </row>
    <row r="83" spans="1:12" x14ac:dyDescent="0.25">
      <c r="A83" t="s">
        <v>96</v>
      </c>
      <c r="B83">
        <v>82</v>
      </c>
      <c r="D83" t="str">
        <f t="shared" si="6"/>
        <v>0-18</v>
      </c>
      <c r="E83" t="str">
        <f t="shared" si="7"/>
        <v>Missing</v>
      </c>
      <c r="F83" t="s">
        <v>8</v>
      </c>
      <c r="G83" t="s">
        <v>51</v>
      </c>
      <c r="H83" s="1">
        <v>45027</v>
      </c>
      <c r="I83" s="1">
        <v>45034</v>
      </c>
      <c r="J83" s="2"/>
      <c r="K83" s="1" t="str">
        <f t="shared" si="8"/>
        <v>missing</v>
      </c>
      <c r="L83"/>
    </row>
    <row r="84" spans="1:12" x14ac:dyDescent="0.25">
      <c r="A84" t="s">
        <v>114</v>
      </c>
      <c r="B84">
        <v>83</v>
      </c>
      <c r="D84" t="str">
        <f t="shared" si="6"/>
        <v>0-18</v>
      </c>
      <c r="E84" t="str">
        <f t="shared" si="7"/>
        <v>Missing</v>
      </c>
      <c r="F84" t="s">
        <v>29</v>
      </c>
      <c r="G84" t="s">
        <v>37</v>
      </c>
      <c r="H84" s="1">
        <v>45164</v>
      </c>
      <c r="I84" s="1">
        <v>45173</v>
      </c>
      <c r="J84" s="2"/>
      <c r="K84" s="1" t="str">
        <f t="shared" si="8"/>
        <v>missing</v>
      </c>
      <c r="L84"/>
    </row>
    <row r="85" spans="1:12" x14ac:dyDescent="0.25">
      <c r="A85" t="s">
        <v>86</v>
      </c>
      <c r="B85">
        <v>84</v>
      </c>
      <c r="D85" t="str">
        <f t="shared" si="6"/>
        <v>0-18</v>
      </c>
      <c r="E85" t="str">
        <f t="shared" si="7"/>
        <v>Missing</v>
      </c>
      <c r="F85" t="s">
        <v>8</v>
      </c>
      <c r="G85" t="s">
        <v>37</v>
      </c>
      <c r="H85" s="1">
        <v>45050</v>
      </c>
      <c r="I85" s="1">
        <v>45060</v>
      </c>
      <c r="J85" s="2"/>
      <c r="K85" s="1" t="str">
        <f t="shared" si="8"/>
        <v>missing</v>
      </c>
      <c r="L85"/>
    </row>
    <row r="86" spans="1:12" x14ac:dyDescent="0.25">
      <c r="A86" t="s">
        <v>7</v>
      </c>
      <c r="B86">
        <v>85</v>
      </c>
      <c r="C86">
        <v>47</v>
      </c>
      <c r="D86" t="str">
        <f t="shared" si="6"/>
        <v>36-55</v>
      </c>
      <c r="E86" t="str">
        <f t="shared" si="7"/>
        <v>Ok</v>
      </c>
      <c r="F86" t="s">
        <v>29</v>
      </c>
      <c r="G86" t="s">
        <v>14</v>
      </c>
      <c r="H86" s="1">
        <v>45008</v>
      </c>
      <c r="I86" s="1">
        <v>45011</v>
      </c>
      <c r="J86" s="2"/>
      <c r="K86" s="1" t="str">
        <f t="shared" si="8"/>
        <v>missing</v>
      </c>
      <c r="L86"/>
    </row>
    <row r="87" spans="1:12" x14ac:dyDescent="0.25">
      <c r="A87" t="s">
        <v>7</v>
      </c>
      <c r="B87">
        <v>86</v>
      </c>
      <c r="D87" t="str">
        <f t="shared" si="6"/>
        <v>0-18</v>
      </c>
      <c r="E87" t="str">
        <f t="shared" si="7"/>
        <v>Missing</v>
      </c>
      <c r="F87" t="s">
        <v>29</v>
      </c>
      <c r="G87" t="s">
        <v>45</v>
      </c>
      <c r="H87" s="1">
        <v>45178</v>
      </c>
      <c r="I87" s="1">
        <v>45180</v>
      </c>
      <c r="J87" s="2">
        <v>9375.59</v>
      </c>
      <c r="K87" s="1" t="str">
        <f t="shared" si="8"/>
        <v>ok</v>
      </c>
      <c r="L87"/>
    </row>
    <row r="88" spans="1:12" x14ac:dyDescent="0.25">
      <c r="A88" t="s">
        <v>222</v>
      </c>
      <c r="B88">
        <v>87</v>
      </c>
      <c r="D88" t="str">
        <f t="shared" si="6"/>
        <v>0-18</v>
      </c>
      <c r="E88" t="str">
        <f t="shared" si="7"/>
        <v>Missing</v>
      </c>
      <c r="F88" t="s">
        <v>8</v>
      </c>
      <c r="G88" t="s">
        <v>25</v>
      </c>
      <c r="H88" s="1">
        <v>45021</v>
      </c>
      <c r="I88" s="1">
        <v>45022</v>
      </c>
      <c r="J88" s="2">
        <v>47546.49</v>
      </c>
      <c r="K88" s="1" t="str">
        <f t="shared" si="8"/>
        <v>ok</v>
      </c>
      <c r="L88"/>
    </row>
    <row r="89" spans="1:12" x14ac:dyDescent="0.25">
      <c r="A89" t="s">
        <v>28</v>
      </c>
      <c r="B89">
        <v>88</v>
      </c>
      <c r="D89" t="str">
        <f t="shared" si="6"/>
        <v>0-18</v>
      </c>
      <c r="E89" t="str">
        <f t="shared" si="7"/>
        <v>Missing</v>
      </c>
      <c r="F89" t="s">
        <v>29</v>
      </c>
      <c r="G89" t="s">
        <v>51</v>
      </c>
      <c r="H89" s="1">
        <v>45108</v>
      </c>
      <c r="I89" s="1">
        <v>45117</v>
      </c>
      <c r="J89" s="2"/>
      <c r="K89" s="1" t="str">
        <f t="shared" si="8"/>
        <v>missing</v>
      </c>
      <c r="L89"/>
    </row>
    <row r="90" spans="1:12" x14ac:dyDescent="0.25">
      <c r="A90" t="s">
        <v>78</v>
      </c>
      <c r="B90">
        <v>89</v>
      </c>
      <c r="D90" t="str">
        <f t="shared" si="6"/>
        <v>0-18</v>
      </c>
      <c r="E90" t="str">
        <f t="shared" si="7"/>
        <v>Missing</v>
      </c>
      <c r="F90" t="s">
        <v>29</v>
      </c>
      <c r="G90" t="s">
        <v>37</v>
      </c>
      <c r="H90" s="1">
        <v>45210</v>
      </c>
      <c r="I90" s="1">
        <v>45215</v>
      </c>
      <c r="J90" s="2"/>
      <c r="K90" s="1" t="str">
        <f t="shared" si="8"/>
        <v>missing</v>
      </c>
      <c r="L90"/>
    </row>
    <row r="91" spans="1:12" x14ac:dyDescent="0.25">
      <c r="A91" t="s">
        <v>96</v>
      </c>
      <c r="B91">
        <v>90</v>
      </c>
      <c r="D91" t="str">
        <f t="shared" si="6"/>
        <v>0-18</v>
      </c>
      <c r="E91" t="str">
        <f t="shared" si="7"/>
        <v>Missing</v>
      </c>
      <c r="F91" t="s">
        <v>8</v>
      </c>
      <c r="G91" t="s">
        <v>51</v>
      </c>
      <c r="H91" s="1">
        <v>45026</v>
      </c>
      <c r="I91" s="1">
        <v>45028</v>
      </c>
      <c r="J91" s="2"/>
      <c r="K91" s="1" t="str">
        <f t="shared" si="8"/>
        <v>missing</v>
      </c>
      <c r="L91"/>
    </row>
    <row r="92" spans="1:12" x14ac:dyDescent="0.25">
      <c r="A92" t="s">
        <v>229</v>
      </c>
      <c r="B92">
        <v>91</v>
      </c>
      <c r="D92" t="str">
        <f t="shared" si="6"/>
        <v>0-18</v>
      </c>
      <c r="E92" t="str">
        <f t="shared" si="7"/>
        <v>Missing</v>
      </c>
      <c r="F92" t="s">
        <v>29</v>
      </c>
      <c r="G92" t="s">
        <v>257</v>
      </c>
      <c r="H92" s="1">
        <v>44948</v>
      </c>
      <c r="I92" s="1">
        <v>44957</v>
      </c>
      <c r="J92" s="2">
        <v>18641.18</v>
      </c>
      <c r="K92" s="1" t="str">
        <f t="shared" si="8"/>
        <v>ok</v>
      </c>
      <c r="L92"/>
    </row>
    <row r="93" spans="1:12" x14ac:dyDescent="0.25">
      <c r="A93" t="s">
        <v>229</v>
      </c>
      <c r="B93">
        <v>92</v>
      </c>
      <c r="D93" t="str">
        <f t="shared" si="6"/>
        <v>0-18</v>
      </c>
      <c r="E93" t="str">
        <f t="shared" si="7"/>
        <v>Missing</v>
      </c>
      <c r="F93" t="s">
        <v>29</v>
      </c>
      <c r="G93" t="s">
        <v>14</v>
      </c>
      <c r="H93" s="1">
        <v>45164</v>
      </c>
      <c r="I93" s="1">
        <v>45168</v>
      </c>
      <c r="J93" s="2">
        <v>25163.48</v>
      </c>
      <c r="K93" s="1" t="str">
        <f t="shared" si="8"/>
        <v>ok</v>
      </c>
      <c r="L93"/>
    </row>
    <row r="94" spans="1:12" x14ac:dyDescent="0.25">
      <c r="A94" t="s">
        <v>124</v>
      </c>
      <c r="B94">
        <v>93</v>
      </c>
      <c r="C94">
        <v>53</v>
      </c>
      <c r="D94" t="str">
        <f t="shared" si="6"/>
        <v>36-55</v>
      </c>
      <c r="E94" t="str">
        <f t="shared" si="7"/>
        <v>Ok</v>
      </c>
      <c r="F94" t="s">
        <v>29</v>
      </c>
      <c r="G94" t="s">
        <v>25</v>
      </c>
      <c r="H94" s="1">
        <v>44971</v>
      </c>
      <c r="I94" s="1">
        <v>44978</v>
      </c>
      <c r="J94" s="2">
        <v>27883.22</v>
      </c>
      <c r="K94" s="1" t="str">
        <f t="shared" si="8"/>
        <v>ok</v>
      </c>
      <c r="L94"/>
    </row>
    <row r="95" spans="1:12" x14ac:dyDescent="0.25">
      <c r="A95" t="s">
        <v>72</v>
      </c>
      <c r="B95">
        <v>94</v>
      </c>
      <c r="D95" t="str">
        <f t="shared" si="6"/>
        <v>0-18</v>
      </c>
      <c r="E95" t="str">
        <f t="shared" si="7"/>
        <v>Missing</v>
      </c>
      <c r="F95" t="s">
        <v>29</v>
      </c>
      <c r="G95" t="s">
        <v>257</v>
      </c>
      <c r="H95" s="1">
        <v>44938</v>
      </c>
      <c r="I95" s="1">
        <v>44944</v>
      </c>
      <c r="J95" s="2">
        <v>13276.08</v>
      </c>
      <c r="K95" s="1" t="str">
        <f t="shared" si="8"/>
        <v>ok</v>
      </c>
      <c r="L95"/>
    </row>
    <row r="96" spans="1:12" x14ac:dyDescent="0.25">
      <c r="A96" t="s">
        <v>236</v>
      </c>
      <c r="B96">
        <v>95</v>
      </c>
      <c r="D96" t="str">
        <f t="shared" si="6"/>
        <v>0-18</v>
      </c>
      <c r="E96" t="str">
        <f t="shared" si="7"/>
        <v>Missing</v>
      </c>
      <c r="F96" t="s">
        <v>8</v>
      </c>
      <c r="G96" t="s">
        <v>37</v>
      </c>
      <c r="H96" s="1">
        <v>45027</v>
      </c>
      <c r="I96" s="1">
        <v>45029</v>
      </c>
      <c r="J96" s="2"/>
      <c r="K96" s="1" t="str">
        <f t="shared" si="8"/>
        <v>missing</v>
      </c>
      <c r="L96"/>
    </row>
    <row r="97" spans="1:12" x14ac:dyDescent="0.25">
      <c r="A97" t="s">
        <v>28</v>
      </c>
      <c r="B97">
        <v>96</v>
      </c>
      <c r="D97" t="str">
        <f t="shared" si="6"/>
        <v>0-18</v>
      </c>
      <c r="E97" t="str">
        <f t="shared" si="7"/>
        <v>Missing</v>
      </c>
      <c r="F97" t="s">
        <v>29</v>
      </c>
      <c r="G97" t="s">
        <v>14</v>
      </c>
      <c r="H97" s="1">
        <v>45011</v>
      </c>
      <c r="I97" s="1">
        <v>45014</v>
      </c>
      <c r="J97" s="2">
        <v>41154.46</v>
      </c>
      <c r="K97" s="1" t="str">
        <f t="shared" si="8"/>
        <v>ok</v>
      </c>
      <c r="L97"/>
    </row>
    <row r="98" spans="1:12" x14ac:dyDescent="0.25">
      <c r="A98" t="s">
        <v>146</v>
      </c>
      <c r="B98">
        <v>97</v>
      </c>
      <c r="D98" t="str">
        <f t="shared" ref="D98:D101" si="9">IF(C98="Missing","Unknown",
IF(C98&lt;=18,"0-18",
IF(C98&lt;=35,"19-35",
IF(C98&lt;=55,"36-55","56+"))))</f>
        <v>0-18</v>
      </c>
      <c r="E98" t="str">
        <f>IF(C98="", "Missing", IF(C98&lt;5, "Check", "Ok"))</f>
        <v>Missing</v>
      </c>
      <c r="F98" t="s">
        <v>8</v>
      </c>
      <c r="G98" t="s">
        <v>257</v>
      </c>
      <c r="H98" s="1">
        <v>44963</v>
      </c>
      <c r="I98" s="1">
        <v>44967</v>
      </c>
      <c r="J98" s="2"/>
      <c r="K98" s="1" t="str">
        <f t="shared" ref="K98:K101" si="10">IF(J98="","missing","ok")</f>
        <v>missing</v>
      </c>
      <c r="L98"/>
    </row>
    <row r="99" spans="1:12" x14ac:dyDescent="0.25">
      <c r="A99" t="s">
        <v>17</v>
      </c>
      <c r="B99">
        <v>98</v>
      </c>
      <c r="D99" t="str">
        <f t="shared" si="9"/>
        <v>0-18</v>
      </c>
      <c r="E99" t="str">
        <f>IF(C99="", "Missing", IF(C99&lt;5, "Check", "Ok"))</f>
        <v>Missing</v>
      </c>
      <c r="F99" t="s">
        <v>29</v>
      </c>
      <c r="G99" t="s">
        <v>51</v>
      </c>
      <c r="H99" s="1">
        <v>45169</v>
      </c>
      <c r="I99" s="1">
        <v>45170</v>
      </c>
      <c r="J99" s="2"/>
      <c r="K99" s="1" t="str">
        <f t="shared" si="10"/>
        <v>missing</v>
      </c>
      <c r="L99"/>
    </row>
    <row r="100" spans="1:12" x14ac:dyDescent="0.25">
      <c r="A100" t="s">
        <v>72</v>
      </c>
      <c r="B100">
        <v>99</v>
      </c>
      <c r="D100" t="str">
        <f t="shared" si="9"/>
        <v>0-18</v>
      </c>
      <c r="E100" t="str">
        <f>IF(C100="", "Missing", IF(C100&lt;5, "Check", "Ok"))</f>
        <v>Missing</v>
      </c>
      <c r="F100" t="s">
        <v>29</v>
      </c>
      <c r="G100" t="s">
        <v>25</v>
      </c>
      <c r="H100" s="1">
        <v>45244</v>
      </c>
      <c r="I100" s="1">
        <v>45250</v>
      </c>
      <c r="J100" s="2"/>
      <c r="K100" s="1" t="str">
        <f t="shared" si="10"/>
        <v>missing</v>
      </c>
      <c r="L100"/>
    </row>
    <row r="101" spans="1:12" x14ac:dyDescent="0.25">
      <c r="A101" t="s">
        <v>146</v>
      </c>
      <c r="B101">
        <v>100</v>
      </c>
      <c r="C101">
        <v>2</v>
      </c>
      <c r="D101" t="str">
        <f t="shared" si="9"/>
        <v>0-18</v>
      </c>
      <c r="E101" t="str">
        <f>IF(C101="", "Missing", IF(C101&lt;5, "Check", "Ok"))</f>
        <v>Check</v>
      </c>
      <c r="F101" t="s">
        <v>8</v>
      </c>
      <c r="G101" t="s">
        <v>37</v>
      </c>
      <c r="H101" s="1">
        <v>45025</v>
      </c>
      <c r="I101" s="1">
        <v>45030</v>
      </c>
      <c r="J101" s="2"/>
      <c r="K101" s="1" t="str">
        <f t="shared" si="10"/>
        <v>missing</v>
      </c>
      <c r="L101"/>
    </row>
    <row r="102" spans="1:12" x14ac:dyDescent="0.25">
      <c r="J102" s="2">
        <f>SUBTOTAL(109,Table1[Billing_amount])</f>
        <v>1042718.9099999999</v>
      </c>
      <c r="K102" s="1"/>
    </row>
  </sheetData>
  <phoneticPr fontId="1"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F47A2-4B7E-4237-92A0-7B7C74D262B0}">
  <dimension ref="A1:K103"/>
  <sheetViews>
    <sheetView topLeftCell="A2" workbookViewId="0">
      <selection activeCell="F10" sqref="F10"/>
    </sheetView>
  </sheetViews>
  <sheetFormatPr defaultRowHeight="15" x14ac:dyDescent="0.25"/>
  <cols>
    <col min="1" max="1" width="12.42578125" bestFit="1" customWidth="1"/>
    <col min="2" max="2" width="9.85546875" bestFit="1" customWidth="1"/>
    <col min="3" max="3" width="7.140625" bestFit="1" customWidth="1"/>
    <col min="4" max="4" width="12.85546875" bestFit="1" customWidth="1"/>
    <col min="5" max="5" width="16.7109375" bestFit="1" customWidth="1"/>
    <col min="6" max="6" width="10" bestFit="1" customWidth="1"/>
    <col min="7" max="7" width="13.140625" bestFit="1" customWidth="1"/>
    <col min="8" max="8" width="17.7109375" style="7" bestFit="1" customWidth="1"/>
    <col min="9" max="9" width="17.42578125" bestFit="1" customWidth="1"/>
    <col min="10" max="10" width="16.85546875" customWidth="1"/>
    <col min="11" max="11" width="13.140625" bestFit="1" customWidth="1"/>
    <col min="12" max="12" width="17.42578125" customWidth="1"/>
  </cols>
  <sheetData>
    <row r="1" spans="1:11" x14ac:dyDescent="0.25">
      <c r="A1" t="s">
        <v>251</v>
      </c>
      <c r="B1" t="s">
        <v>256</v>
      </c>
      <c r="C1" t="s">
        <v>1</v>
      </c>
      <c r="D1" t="s">
        <v>284</v>
      </c>
      <c r="E1" t="s">
        <v>250</v>
      </c>
      <c r="F1" t="s">
        <v>252</v>
      </c>
      <c r="G1" t="s">
        <v>3</v>
      </c>
      <c r="H1" s="7" t="s">
        <v>253</v>
      </c>
      <c r="I1" s="7" t="s">
        <v>254</v>
      </c>
      <c r="J1" s="2" t="s">
        <v>255</v>
      </c>
      <c r="K1" t="s">
        <v>266</v>
      </c>
    </row>
    <row r="2" spans="1:11" x14ac:dyDescent="0.25">
      <c r="A2" t="s">
        <v>7</v>
      </c>
      <c r="B2">
        <v>1</v>
      </c>
      <c r="C2">
        <v>44</v>
      </c>
      <c r="D2" t="str">
        <f>IF(C2="Missing","Unknown",
IF(C2&lt;=18,"0-18",
IF(C2&lt;=35,"19-35",
IF(C2&lt;=55,"36-55","56+"))))</f>
        <v>36-55</v>
      </c>
      <c r="E2" t="s">
        <v>258</v>
      </c>
      <c r="F2" t="s">
        <v>29</v>
      </c>
      <c r="G2" t="s">
        <v>37</v>
      </c>
      <c r="H2" s="7">
        <v>45000</v>
      </c>
      <c r="I2" s="7">
        <v>45003</v>
      </c>
      <c r="J2" s="2">
        <v>49170.05</v>
      </c>
      <c r="K2" t="s">
        <v>268</v>
      </c>
    </row>
    <row r="3" spans="1:11" x14ac:dyDescent="0.25">
      <c r="A3" t="s">
        <v>12</v>
      </c>
      <c r="B3">
        <v>2</v>
      </c>
      <c r="D3" t="str">
        <f t="shared" ref="D3:D33" si="0">IF(C3="Missing","Unknown",
IF(C3&lt;=18,"0-18",
IF(C3&lt;=35,"19-35",
IF(C3&lt;=55,"36-55","56+"))))</f>
        <v>0-18</v>
      </c>
      <c r="E3" t="s">
        <v>259</v>
      </c>
      <c r="F3" t="s">
        <v>8</v>
      </c>
      <c r="G3" t="s">
        <v>14</v>
      </c>
      <c r="H3" s="7">
        <v>45016</v>
      </c>
      <c r="I3" s="7">
        <v>45024</v>
      </c>
      <c r="J3" s="2">
        <v>45778.51</v>
      </c>
      <c r="K3" t="s">
        <v>268</v>
      </c>
    </row>
    <row r="4" spans="1:11" x14ac:dyDescent="0.25">
      <c r="A4" t="s">
        <v>17</v>
      </c>
      <c r="B4">
        <v>3</v>
      </c>
      <c r="D4" t="str">
        <f t="shared" si="0"/>
        <v>0-18</v>
      </c>
      <c r="E4" t="s">
        <v>259</v>
      </c>
      <c r="F4" t="s">
        <v>29</v>
      </c>
      <c r="G4" t="s">
        <v>37</v>
      </c>
      <c r="H4" s="7">
        <v>45206</v>
      </c>
      <c r="I4" s="7">
        <v>45214</v>
      </c>
      <c r="J4" s="2"/>
      <c r="K4" t="s">
        <v>267</v>
      </c>
    </row>
    <row r="5" spans="1:11" x14ac:dyDescent="0.25">
      <c r="A5" t="s">
        <v>21</v>
      </c>
      <c r="B5">
        <v>4</v>
      </c>
      <c r="D5" t="str">
        <f t="shared" si="0"/>
        <v>0-18</v>
      </c>
      <c r="E5" t="s">
        <v>259</v>
      </c>
      <c r="F5" t="s">
        <v>8</v>
      </c>
      <c r="G5" t="s">
        <v>14</v>
      </c>
      <c r="H5" s="7">
        <v>45222</v>
      </c>
      <c r="I5" s="7">
        <v>45232</v>
      </c>
      <c r="J5" s="2">
        <v>46813.33</v>
      </c>
      <c r="K5" t="s">
        <v>268</v>
      </c>
    </row>
    <row r="6" spans="1:11" x14ac:dyDescent="0.25">
      <c r="A6" t="s">
        <v>24</v>
      </c>
      <c r="B6">
        <v>5</v>
      </c>
      <c r="C6">
        <v>67</v>
      </c>
      <c r="D6" t="str">
        <f t="shared" si="0"/>
        <v>56+</v>
      </c>
      <c r="E6" t="s">
        <v>258</v>
      </c>
      <c r="F6" t="s">
        <v>8</v>
      </c>
      <c r="G6" t="s">
        <v>25</v>
      </c>
      <c r="H6" s="7">
        <v>45224</v>
      </c>
      <c r="I6" s="7">
        <v>45233</v>
      </c>
      <c r="J6" s="2">
        <v>41900.15</v>
      </c>
      <c r="K6" t="s">
        <v>268</v>
      </c>
    </row>
    <row r="7" spans="1:11" x14ac:dyDescent="0.25">
      <c r="A7" t="s">
        <v>28</v>
      </c>
      <c r="B7">
        <v>6</v>
      </c>
      <c r="D7" t="str">
        <f t="shared" si="0"/>
        <v>0-18</v>
      </c>
      <c r="E7" t="s">
        <v>259</v>
      </c>
      <c r="F7" t="s">
        <v>29</v>
      </c>
      <c r="G7" t="s">
        <v>37</v>
      </c>
      <c r="H7" s="7">
        <v>44948</v>
      </c>
      <c r="I7" s="7">
        <v>44953</v>
      </c>
      <c r="J7" s="2">
        <v>48117.72</v>
      </c>
      <c r="K7" t="s">
        <v>268</v>
      </c>
    </row>
    <row r="8" spans="1:11" x14ac:dyDescent="0.25">
      <c r="A8" t="s">
        <v>32</v>
      </c>
      <c r="B8">
        <v>7</v>
      </c>
      <c r="C8">
        <v>29</v>
      </c>
      <c r="D8" t="str">
        <f t="shared" si="0"/>
        <v>19-35</v>
      </c>
      <c r="E8" t="s">
        <v>258</v>
      </c>
      <c r="F8" t="s">
        <v>8</v>
      </c>
      <c r="G8" t="s">
        <v>37</v>
      </c>
      <c r="H8" s="7">
        <v>45123</v>
      </c>
      <c r="I8" s="7">
        <v>45124</v>
      </c>
      <c r="J8" s="2"/>
      <c r="K8" t="s">
        <v>267</v>
      </c>
    </row>
    <row r="9" spans="1:11" x14ac:dyDescent="0.25">
      <c r="A9" t="s">
        <v>35</v>
      </c>
      <c r="B9">
        <v>8</v>
      </c>
      <c r="D9" t="str">
        <f t="shared" si="0"/>
        <v>0-18</v>
      </c>
      <c r="E9" t="s">
        <v>259</v>
      </c>
      <c r="F9" t="s">
        <v>29</v>
      </c>
      <c r="G9" t="s">
        <v>37</v>
      </c>
      <c r="H9" s="7">
        <v>44941</v>
      </c>
      <c r="I9" s="7">
        <v>44944</v>
      </c>
      <c r="J9" s="2">
        <v>6379.39</v>
      </c>
      <c r="K9" t="s">
        <v>268</v>
      </c>
    </row>
    <row r="10" spans="1:11" x14ac:dyDescent="0.25">
      <c r="A10" t="s">
        <v>40</v>
      </c>
      <c r="B10">
        <v>9</v>
      </c>
      <c r="C10">
        <v>1</v>
      </c>
      <c r="D10" t="str">
        <f t="shared" si="0"/>
        <v>0-18</v>
      </c>
      <c r="E10" t="s">
        <v>260</v>
      </c>
      <c r="F10" t="s">
        <v>29</v>
      </c>
      <c r="G10" t="s">
        <v>14</v>
      </c>
      <c r="H10" s="7">
        <v>45263</v>
      </c>
      <c r="I10" s="7">
        <v>45268</v>
      </c>
      <c r="J10" s="2"/>
      <c r="K10" t="s">
        <v>267</v>
      </c>
    </row>
    <row r="11" spans="1:11" x14ac:dyDescent="0.25">
      <c r="A11" t="s">
        <v>44</v>
      </c>
      <c r="B11">
        <v>10</v>
      </c>
      <c r="D11" t="str">
        <f t="shared" si="0"/>
        <v>0-18</v>
      </c>
      <c r="E11" t="s">
        <v>259</v>
      </c>
      <c r="F11" t="s">
        <v>29</v>
      </c>
      <c r="G11" t="s">
        <v>45</v>
      </c>
      <c r="H11" s="7">
        <v>45264</v>
      </c>
      <c r="I11" s="7">
        <v>45270</v>
      </c>
      <c r="J11" s="2">
        <v>21753.77</v>
      </c>
      <c r="K11" t="s">
        <v>268</v>
      </c>
    </row>
    <row r="12" spans="1:11" x14ac:dyDescent="0.25">
      <c r="A12" t="s">
        <v>48</v>
      </c>
      <c r="B12">
        <v>11</v>
      </c>
      <c r="D12" t="str">
        <f t="shared" si="0"/>
        <v>0-18</v>
      </c>
      <c r="E12" t="s">
        <v>259</v>
      </c>
      <c r="F12" t="s">
        <v>29</v>
      </c>
      <c r="G12" t="s">
        <v>45</v>
      </c>
      <c r="H12" s="7">
        <v>45216</v>
      </c>
      <c r="I12" s="7">
        <v>45226</v>
      </c>
      <c r="J12" s="2"/>
      <c r="K12" t="s">
        <v>267</v>
      </c>
    </row>
    <row r="13" spans="1:11" x14ac:dyDescent="0.25">
      <c r="A13" t="s">
        <v>35</v>
      </c>
      <c r="B13">
        <v>12</v>
      </c>
      <c r="C13">
        <v>52</v>
      </c>
      <c r="D13" t="str">
        <f t="shared" si="0"/>
        <v>36-55</v>
      </c>
      <c r="E13" t="s">
        <v>258</v>
      </c>
      <c r="F13" t="s">
        <v>29</v>
      </c>
      <c r="G13" t="s">
        <v>51</v>
      </c>
      <c r="H13" s="7">
        <v>44938</v>
      </c>
      <c r="I13" s="7">
        <v>44946</v>
      </c>
      <c r="J13" s="2"/>
      <c r="K13" t="s">
        <v>267</v>
      </c>
    </row>
    <row r="14" spans="1:11" x14ac:dyDescent="0.25">
      <c r="A14" t="s">
        <v>54</v>
      </c>
      <c r="B14">
        <v>13</v>
      </c>
      <c r="D14" t="str">
        <f t="shared" si="0"/>
        <v>0-18</v>
      </c>
      <c r="E14" t="s">
        <v>259</v>
      </c>
      <c r="F14" t="s">
        <v>29</v>
      </c>
      <c r="G14" t="s">
        <v>14</v>
      </c>
      <c r="H14" s="7">
        <v>45224</v>
      </c>
      <c r="I14" s="7">
        <v>45228</v>
      </c>
      <c r="J14" s="2">
        <v>20798.8</v>
      </c>
      <c r="K14" t="s">
        <v>268</v>
      </c>
    </row>
    <row r="15" spans="1:11" x14ac:dyDescent="0.25">
      <c r="A15" t="s">
        <v>58</v>
      </c>
      <c r="B15">
        <v>14</v>
      </c>
      <c r="C15">
        <v>46</v>
      </c>
      <c r="D15" t="str">
        <f t="shared" si="0"/>
        <v>36-55</v>
      </c>
      <c r="E15" t="s">
        <v>258</v>
      </c>
      <c r="F15" t="s">
        <v>8</v>
      </c>
      <c r="G15" t="s">
        <v>25</v>
      </c>
      <c r="H15" s="7">
        <v>45260</v>
      </c>
      <c r="I15" s="7">
        <v>45261</v>
      </c>
      <c r="J15" s="2">
        <v>42050.51</v>
      </c>
      <c r="K15" t="s">
        <v>268</v>
      </c>
    </row>
    <row r="16" spans="1:11" x14ac:dyDescent="0.25">
      <c r="A16" t="s">
        <v>28</v>
      </c>
      <c r="B16">
        <v>15</v>
      </c>
      <c r="D16" t="str">
        <f t="shared" si="0"/>
        <v>0-18</v>
      </c>
      <c r="E16" t="s">
        <v>259</v>
      </c>
      <c r="F16" t="s">
        <v>29</v>
      </c>
      <c r="G16" t="s">
        <v>51</v>
      </c>
      <c r="H16" s="7">
        <v>45154</v>
      </c>
      <c r="I16" s="7">
        <v>45158</v>
      </c>
      <c r="J16" s="2"/>
      <c r="K16" t="s">
        <v>267</v>
      </c>
    </row>
    <row r="17" spans="1:11" x14ac:dyDescent="0.25">
      <c r="A17" t="s">
        <v>63</v>
      </c>
      <c r="B17">
        <v>16</v>
      </c>
      <c r="C17">
        <v>36</v>
      </c>
      <c r="D17" t="str">
        <f t="shared" si="0"/>
        <v>36-55</v>
      </c>
      <c r="E17" t="s">
        <v>258</v>
      </c>
      <c r="F17" t="s">
        <v>8</v>
      </c>
      <c r="G17" t="s">
        <v>37</v>
      </c>
      <c r="H17" s="7">
        <v>44999</v>
      </c>
      <c r="I17" s="7">
        <v>45008</v>
      </c>
      <c r="J17" s="2"/>
      <c r="K17" t="s">
        <v>267</v>
      </c>
    </row>
    <row r="18" spans="1:11" x14ac:dyDescent="0.25">
      <c r="A18" t="s">
        <v>66</v>
      </c>
      <c r="B18">
        <v>17</v>
      </c>
      <c r="D18" t="str">
        <f t="shared" si="0"/>
        <v>0-18</v>
      </c>
      <c r="E18" t="s">
        <v>259</v>
      </c>
      <c r="F18" t="s">
        <v>8</v>
      </c>
      <c r="G18" t="s">
        <v>257</v>
      </c>
      <c r="H18" s="7">
        <v>45164</v>
      </c>
      <c r="I18" s="7">
        <v>45174</v>
      </c>
      <c r="J18" s="2"/>
      <c r="K18" t="s">
        <v>267</v>
      </c>
    </row>
    <row r="19" spans="1:11" x14ac:dyDescent="0.25">
      <c r="A19" t="s">
        <v>69</v>
      </c>
      <c r="B19">
        <v>18</v>
      </c>
      <c r="D19" t="str">
        <f t="shared" si="0"/>
        <v>0-18</v>
      </c>
      <c r="E19" t="s">
        <v>259</v>
      </c>
      <c r="F19" t="s">
        <v>8</v>
      </c>
      <c r="G19" t="s">
        <v>51</v>
      </c>
      <c r="H19" s="7">
        <v>45008</v>
      </c>
      <c r="I19" s="7">
        <v>45015</v>
      </c>
      <c r="J19" s="2">
        <v>21821.73</v>
      </c>
      <c r="K19" t="s">
        <v>268</v>
      </c>
    </row>
    <row r="20" spans="1:11" x14ac:dyDescent="0.25">
      <c r="A20" t="s">
        <v>72</v>
      </c>
      <c r="B20">
        <v>19</v>
      </c>
      <c r="D20" t="str">
        <f t="shared" si="0"/>
        <v>0-18</v>
      </c>
      <c r="E20" t="s">
        <v>259</v>
      </c>
      <c r="F20" t="s">
        <v>29</v>
      </c>
      <c r="G20" t="s">
        <v>45</v>
      </c>
      <c r="H20" s="7">
        <v>45125</v>
      </c>
      <c r="I20" s="7">
        <v>45134</v>
      </c>
      <c r="J20" s="2"/>
      <c r="K20" t="s">
        <v>267</v>
      </c>
    </row>
    <row r="21" spans="1:11" x14ac:dyDescent="0.25">
      <c r="A21" t="s">
        <v>75</v>
      </c>
      <c r="B21">
        <v>20</v>
      </c>
      <c r="C21">
        <v>37</v>
      </c>
      <c r="D21" t="str">
        <f t="shared" si="0"/>
        <v>36-55</v>
      </c>
      <c r="E21" t="s">
        <v>258</v>
      </c>
      <c r="F21" t="s">
        <v>29</v>
      </c>
      <c r="G21" t="s">
        <v>51</v>
      </c>
      <c r="H21" s="7">
        <v>45124</v>
      </c>
      <c r="I21" s="7">
        <v>45131</v>
      </c>
      <c r="J21" s="2">
        <v>42656.07</v>
      </c>
      <c r="K21" t="s">
        <v>268</v>
      </c>
    </row>
    <row r="22" spans="1:11" x14ac:dyDescent="0.25">
      <c r="A22" t="s">
        <v>78</v>
      </c>
      <c r="B22">
        <v>21</v>
      </c>
      <c r="C22">
        <v>78</v>
      </c>
      <c r="D22" t="str">
        <f t="shared" si="0"/>
        <v>56+</v>
      </c>
      <c r="E22" t="s">
        <v>258</v>
      </c>
      <c r="F22" t="s">
        <v>29</v>
      </c>
      <c r="G22" t="s">
        <v>257</v>
      </c>
      <c r="H22" s="7">
        <v>45035</v>
      </c>
      <c r="I22" s="7">
        <v>45040</v>
      </c>
      <c r="J22" s="2"/>
      <c r="K22" t="s">
        <v>267</v>
      </c>
    </row>
    <row r="23" spans="1:11" x14ac:dyDescent="0.25">
      <c r="A23" t="s">
        <v>40</v>
      </c>
      <c r="B23">
        <v>22</v>
      </c>
      <c r="D23" t="str">
        <f t="shared" si="0"/>
        <v>0-18</v>
      </c>
      <c r="E23" t="s">
        <v>259</v>
      </c>
      <c r="F23" t="s">
        <v>29</v>
      </c>
      <c r="G23" t="s">
        <v>25</v>
      </c>
      <c r="H23" s="7">
        <v>45073</v>
      </c>
      <c r="I23" s="7">
        <v>45078</v>
      </c>
      <c r="J23" s="2"/>
      <c r="K23" t="s">
        <v>267</v>
      </c>
    </row>
    <row r="24" spans="1:11" x14ac:dyDescent="0.25">
      <c r="A24" t="s">
        <v>83</v>
      </c>
      <c r="B24">
        <v>23</v>
      </c>
      <c r="C24">
        <v>40</v>
      </c>
      <c r="D24" t="str">
        <f t="shared" si="0"/>
        <v>36-55</v>
      </c>
      <c r="E24" t="s">
        <v>258</v>
      </c>
      <c r="F24" t="s">
        <v>29</v>
      </c>
      <c r="G24" t="s">
        <v>25</v>
      </c>
      <c r="H24" s="7">
        <v>45138</v>
      </c>
      <c r="I24" s="7">
        <v>45141</v>
      </c>
      <c r="J24" s="2"/>
      <c r="K24" t="s">
        <v>267</v>
      </c>
    </row>
    <row r="25" spans="1:11" x14ac:dyDescent="0.25">
      <c r="A25" t="s">
        <v>86</v>
      </c>
      <c r="B25">
        <v>24</v>
      </c>
      <c r="D25" t="str">
        <f t="shared" si="0"/>
        <v>0-18</v>
      </c>
      <c r="E25" t="s">
        <v>259</v>
      </c>
      <c r="F25" t="s">
        <v>8</v>
      </c>
      <c r="G25" t="s">
        <v>51</v>
      </c>
      <c r="H25" s="7">
        <v>45154</v>
      </c>
      <c r="I25" s="7">
        <v>45158</v>
      </c>
      <c r="J25" s="2">
        <v>17002.009999999998</v>
      </c>
      <c r="K25" t="s">
        <v>268</v>
      </c>
    </row>
    <row r="26" spans="1:11" x14ac:dyDescent="0.25">
      <c r="A26" t="s">
        <v>89</v>
      </c>
      <c r="B26">
        <v>25</v>
      </c>
      <c r="C26">
        <v>23</v>
      </c>
      <c r="D26" t="str">
        <f t="shared" si="0"/>
        <v>19-35</v>
      </c>
      <c r="E26" t="s">
        <v>258</v>
      </c>
      <c r="F26" t="s">
        <v>8</v>
      </c>
      <c r="G26" t="s">
        <v>257</v>
      </c>
      <c r="H26" s="7">
        <v>44942</v>
      </c>
      <c r="I26" s="7">
        <v>44945</v>
      </c>
      <c r="J26" s="2"/>
      <c r="K26" t="s">
        <v>267</v>
      </c>
    </row>
    <row r="27" spans="1:11" x14ac:dyDescent="0.25">
      <c r="A27" t="s">
        <v>12</v>
      </c>
      <c r="B27">
        <v>26</v>
      </c>
      <c r="D27" t="str">
        <f t="shared" si="0"/>
        <v>0-18</v>
      </c>
      <c r="E27" t="s">
        <v>259</v>
      </c>
      <c r="F27" t="s">
        <v>8</v>
      </c>
      <c r="G27" t="s">
        <v>14</v>
      </c>
      <c r="H27" s="7">
        <v>44954</v>
      </c>
      <c r="I27" s="7">
        <v>44961</v>
      </c>
      <c r="J27" s="2"/>
      <c r="K27" t="s">
        <v>267</v>
      </c>
    </row>
    <row r="28" spans="1:11" x14ac:dyDescent="0.25">
      <c r="A28" t="s">
        <v>17</v>
      </c>
      <c r="B28">
        <v>27</v>
      </c>
      <c r="D28" t="str">
        <f t="shared" si="0"/>
        <v>0-18</v>
      </c>
      <c r="E28" t="s">
        <v>259</v>
      </c>
      <c r="F28" t="s">
        <v>29</v>
      </c>
      <c r="G28" t="s">
        <v>14</v>
      </c>
      <c r="H28" s="7">
        <v>45124</v>
      </c>
      <c r="I28" s="7">
        <v>45130</v>
      </c>
      <c r="J28" s="2"/>
      <c r="K28" t="s">
        <v>267</v>
      </c>
    </row>
    <row r="29" spans="1:11" x14ac:dyDescent="0.25">
      <c r="A29" t="s">
        <v>96</v>
      </c>
      <c r="B29">
        <v>28</v>
      </c>
      <c r="C29">
        <v>71</v>
      </c>
      <c r="D29" t="str">
        <f t="shared" si="0"/>
        <v>56+</v>
      </c>
      <c r="E29" t="s">
        <v>258</v>
      </c>
      <c r="F29" t="s">
        <v>8</v>
      </c>
      <c r="G29" t="s">
        <v>14</v>
      </c>
      <c r="H29" s="7">
        <v>45149</v>
      </c>
      <c r="I29" s="7">
        <v>45157</v>
      </c>
      <c r="J29" s="2"/>
      <c r="K29" t="s">
        <v>267</v>
      </c>
    </row>
    <row r="30" spans="1:11" x14ac:dyDescent="0.25">
      <c r="A30" t="s">
        <v>99</v>
      </c>
      <c r="B30">
        <v>29</v>
      </c>
      <c r="D30" t="str">
        <f t="shared" si="0"/>
        <v>0-18</v>
      </c>
      <c r="E30" t="s">
        <v>259</v>
      </c>
      <c r="F30" t="s">
        <v>8</v>
      </c>
      <c r="G30" t="s">
        <v>45</v>
      </c>
      <c r="H30" s="7">
        <v>45074</v>
      </c>
      <c r="I30" s="7">
        <v>45083</v>
      </c>
      <c r="J30" s="2"/>
      <c r="K30" t="s">
        <v>267</v>
      </c>
    </row>
    <row r="31" spans="1:11" x14ac:dyDescent="0.25">
      <c r="A31" t="s">
        <v>78</v>
      </c>
      <c r="B31">
        <v>30</v>
      </c>
      <c r="D31" t="str">
        <f t="shared" si="0"/>
        <v>0-18</v>
      </c>
      <c r="E31" t="s">
        <v>259</v>
      </c>
      <c r="F31" t="s">
        <v>29</v>
      </c>
      <c r="G31" t="s">
        <v>14</v>
      </c>
      <c r="H31" s="7">
        <v>45216</v>
      </c>
      <c r="I31" s="7">
        <v>45221</v>
      </c>
      <c r="J31" s="2"/>
      <c r="K31" t="s">
        <v>267</v>
      </c>
    </row>
    <row r="32" spans="1:11" x14ac:dyDescent="0.25">
      <c r="A32" t="s">
        <v>96</v>
      </c>
      <c r="B32">
        <v>31</v>
      </c>
      <c r="D32" t="str">
        <f t="shared" si="0"/>
        <v>0-18</v>
      </c>
      <c r="E32" t="s">
        <v>259</v>
      </c>
      <c r="F32" t="s">
        <v>8</v>
      </c>
      <c r="G32" t="s">
        <v>37</v>
      </c>
      <c r="H32" s="7">
        <v>45245</v>
      </c>
      <c r="I32" s="7">
        <v>45249</v>
      </c>
      <c r="J32" s="2"/>
      <c r="K32" t="s">
        <v>267</v>
      </c>
    </row>
    <row r="33" spans="1:11" x14ac:dyDescent="0.25">
      <c r="A33" t="s">
        <v>105</v>
      </c>
      <c r="B33">
        <v>32</v>
      </c>
      <c r="D33" t="str">
        <f t="shared" si="0"/>
        <v>0-18</v>
      </c>
      <c r="E33" t="s">
        <v>259</v>
      </c>
      <c r="F33" t="s">
        <v>29</v>
      </c>
      <c r="G33" t="s">
        <v>257</v>
      </c>
      <c r="H33" s="7">
        <v>45141</v>
      </c>
      <c r="I33" s="7">
        <v>45147</v>
      </c>
      <c r="J33" s="2"/>
      <c r="K33" t="s">
        <v>267</v>
      </c>
    </row>
    <row r="34" spans="1:11" x14ac:dyDescent="0.25">
      <c r="A34" t="s">
        <v>108</v>
      </c>
      <c r="B34">
        <v>33</v>
      </c>
      <c r="D34" t="str">
        <f t="shared" ref="D34:D65" si="1">IF(C34="Missing","Unknown",
IF(C34&lt;=18,"0-18",
IF(C34&lt;=35,"19-35",
IF(C34&lt;=55,"36-55","56+"))))</f>
        <v>0-18</v>
      </c>
      <c r="E34" t="s">
        <v>259</v>
      </c>
      <c r="F34" t="s">
        <v>29</v>
      </c>
      <c r="G34" t="s">
        <v>25</v>
      </c>
      <c r="H34" s="7">
        <v>45091</v>
      </c>
      <c r="I34" s="7">
        <v>45096</v>
      </c>
      <c r="J34" s="2"/>
      <c r="K34" t="s">
        <v>267</v>
      </c>
    </row>
    <row r="35" spans="1:11" x14ac:dyDescent="0.25">
      <c r="A35" t="s">
        <v>111</v>
      </c>
      <c r="B35">
        <v>34</v>
      </c>
      <c r="D35" t="str">
        <f t="shared" si="1"/>
        <v>0-18</v>
      </c>
      <c r="E35" t="s">
        <v>259</v>
      </c>
      <c r="F35" t="s">
        <v>29</v>
      </c>
      <c r="G35" t="s">
        <v>37</v>
      </c>
      <c r="H35" s="7">
        <v>45129</v>
      </c>
      <c r="I35" s="7">
        <v>45134</v>
      </c>
      <c r="J35" s="2">
        <v>23584.75</v>
      </c>
      <c r="K35" t="s">
        <v>268</v>
      </c>
    </row>
    <row r="36" spans="1:11" x14ac:dyDescent="0.25">
      <c r="A36" t="s">
        <v>114</v>
      </c>
      <c r="B36">
        <v>35</v>
      </c>
      <c r="D36" t="str">
        <f t="shared" si="1"/>
        <v>0-18</v>
      </c>
      <c r="E36" t="s">
        <v>259</v>
      </c>
      <c r="F36" t="s">
        <v>29</v>
      </c>
      <c r="G36" t="s">
        <v>25</v>
      </c>
      <c r="H36" s="7">
        <v>45018</v>
      </c>
      <c r="I36" s="7">
        <v>45020</v>
      </c>
      <c r="J36" s="2"/>
      <c r="K36" t="s">
        <v>267</v>
      </c>
    </row>
    <row r="37" spans="1:11" x14ac:dyDescent="0.25">
      <c r="A37" t="s">
        <v>24</v>
      </c>
      <c r="B37">
        <v>36</v>
      </c>
      <c r="D37" t="str">
        <f t="shared" si="1"/>
        <v>0-18</v>
      </c>
      <c r="E37" t="s">
        <v>259</v>
      </c>
      <c r="F37" t="s">
        <v>8</v>
      </c>
      <c r="G37" t="s">
        <v>37</v>
      </c>
      <c r="H37" s="7">
        <v>45008</v>
      </c>
      <c r="I37" s="7">
        <v>45016</v>
      </c>
      <c r="J37" s="2"/>
      <c r="K37" t="s">
        <v>267</v>
      </c>
    </row>
    <row r="38" spans="1:11" x14ac:dyDescent="0.25">
      <c r="A38" t="s">
        <v>118</v>
      </c>
      <c r="B38">
        <v>37</v>
      </c>
      <c r="C38">
        <v>11</v>
      </c>
      <c r="D38" t="str">
        <f t="shared" si="1"/>
        <v>0-18</v>
      </c>
      <c r="E38" t="s">
        <v>258</v>
      </c>
      <c r="F38" t="s">
        <v>8</v>
      </c>
      <c r="G38" t="s">
        <v>45</v>
      </c>
      <c r="H38" s="7">
        <v>45215</v>
      </c>
      <c r="I38" s="7">
        <v>45217</v>
      </c>
      <c r="J38" s="2"/>
      <c r="K38" t="s">
        <v>267</v>
      </c>
    </row>
    <row r="39" spans="1:11" x14ac:dyDescent="0.25">
      <c r="A39" t="s">
        <v>121</v>
      </c>
      <c r="B39">
        <v>38</v>
      </c>
      <c r="D39" t="str">
        <f t="shared" si="1"/>
        <v>0-18</v>
      </c>
      <c r="E39" t="s">
        <v>259</v>
      </c>
      <c r="F39" t="s">
        <v>29</v>
      </c>
      <c r="G39" t="s">
        <v>51</v>
      </c>
      <c r="H39" s="7">
        <v>45199</v>
      </c>
      <c r="I39" s="7">
        <v>45209</v>
      </c>
      <c r="J39" s="2">
        <v>28495.3</v>
      </c>
      <c r="K39" t="s">
        <v>268</v>
      </c>
    </row>
    <row r="40" spans="1:11" x14ac:dyDescent="0.25">
      <c r="A40" t="s">
        <v>124</v>
      </c>
      <c r="B40">
        <v>39</v>
      </c>
      <c r="C40">
        <v>76</v>
      </c>
      <c r="D40" t="str">
        <f t="shared" si="1"/>
        <v>56+</v>
      </c>
      <c r="E40" t="s">
        <v>258</v>
      </c>
      <c r="F40" t="s">
        <v>29</v>
      </c>
      <c r="G40" t="s">
        <v>51</v>
      </c>
      <c r="H40" s="7">
        <v>45117</v>
      </c>
      <c r="I40" s="7">
        <v>45121</v>
      </c>
      <c r="J40" s="2"/>
      <c r="K40" t="s">
        <v>267</v>
      </c>
    </row>
    <row r="41" spans="1:11" x14ac:dyDescent="0.25">
      <c r="A41" t="s">
        <v>7</v>
      </c>
      <c r="B41">
        <v>40</v>
      </c>
      <c r="C41">
        <v>54</v>
      </c>
      <c r="D41" t="str">
        <f t="shared" si="1"/>
        <v>36-55</v>
      </c>
      <c r="E41" t="s">
        <v>258</v>
      </c>
      <c r="F41" t="s">
        <v>29</v>
      </c>
      <c r="G41" t="s">
        <v>51</v>
      </c>
      <c r="H41" s="7">
        <v>45042</v>
      </c>
      <c r="I41" s="7">
        <v>45044</v>
      </c>
      <c r="J41" s="2"/>
      <c r="K41" t="s">
        <v>267</v>
      </c>
    </row>
    <row r="42" spans="1:11" x14ac:dyDescent="0.25">
      <c r="A42" t="s">
        <v>86</v>
      </c>
      <c r="B42">
        <v>41</v>
      </c>
      <c r="D42" t="str">
        <f t="shared" si="1"/>
        <v>0-18</v>
      </c>
      <c r="E42" t="s">
        <v>259</v>
      </c>
      <c r="F42" t="s">
        <v>8</v>
      </c>
      <c r="G42" t="s">
        <v>14</v>
      </c>
      <c r="H42" s="7">
        <v>45286</v>
      </c>
      <c r="I42" s="7">
        <v>45295</v>
      </c>
      <c r="J42" s="2"/>
      <c r="K42" t="s">
        <v>267</v>
      </c>
    </row>
    <row r="43" spans="1:11" x14ac:dyDescent="0.25">
      <c r="A43" t="s">
        <v>131</v>
      </c>
      <c r="B43">
        <v>42</v>
      </c>
      <c r="C43">
        <v>40</v>
      </c>
      <c r="D43" t="str">
        <f t="shared" si="1"/>
        <v>36-55</v>
      </c>
      <c r="E43" t="s">
        <v>258</v>
      </c>
      <c r="F43" t="s">
        <v>29</v>
      </c>
      <c r="G43" t="s">
        <v>37</v>
      </c>
      <c r="H43" s="7">
        <v>45277</v>
      </c>
      <c r="I43" s="7">
        <v>45282</v>
      </c>
      <c r="J43" s="2"/>
      <c r="K43" t="s">
        <v>267</v>
      </c>
    </row>
    <row r="44" spans="1:11" x14ac:dyDescent="0.25">
      <c r="A44" t="s">
        <v>134</v>
      </c>
      <c r="B44">
        <v>43</v>
      </c>
      <c r="D44" t="str">
        <f t="shared" si="1"/>
        <v>0-18</v>
      </c>
      <c r="E44" t="s">
        <v>259</v>
      </c>
      <c r="F44" t="s">
        <v>29</v>
      </c>
      <c r="G44" t="s">
        <v>25</v>
      </c>
      <c r="H44" s="7">
        <v>45078</v>
      </c>
      <c r="I44" s="7">
        <v>45086</v>
      </c>
      <c r="J44" s="2"/>
      <c r="K44" t="s">
        <v>267</v>
      </c>
    </row>
    <row r="45" spans="1:11" x14ac:dyDescent="0.25">
      <c r="A45" t="s">
        <v>137</v>
      </c>
      <c r="B45">
        <v>44</v>
      </c>
      <c r="C45">
        <v>61</v>
      </c>
      <c r="D45" t="str">
        <f t="shared" si="1"/>
        <v>56+</v>
      </c>
      <c r="E45" t="s">
        <v>258</v>
      </c>
      <c r="F45" t="s">
        <v>8</v>
      </c>
      <c r="G45" t="s">
        <v>14</v>
      </c>
      <c r="H45" s="7">
        <v>45068</v>
      </c>
      <c r="I45" s="7">
        <v>45072</v>
      </c>
      <c r="J45" s="2">
        <v>13591.42</v>
      </c>
      <c r="K45" t="s">
        <v>268</v>
      </c>
    </row>
    <row r="46" spans="1:11" x14ac:dyDescent="0.25">
      <c r="A46" t="s">
        <v>114</v>
      </c>
      <c r="B46">
        <v>45</v>
      </c>
      <c r="D46" t="str">
        <f t="shared" si="1"/>
        <v>0-18</v>
      </c>
      <c r="E46" t="s">
        <v>259</v>
      </c>
      <c r="F46" t="s">
        <v>29</v>
      </c>
      <c r="G46" t="s">
        <v>25</v>
      </c>
      <c r="H46" s="7">
        <v>45007</v>
      </c>
      <c r="I46" s="7">
        <v>45016</v>
      </c>
      <c r="J46" s="2">
        <v>7585.24</v>
      </c>
      <c r="K46" t="s">
        <v>268</v>
      </c>
    </row>
    <row r="47" spans="1:11" x14ac:dyDescent="0.25">
      <c r="A47" t="s">
        <v>89</v>
      </c>
      <c r="B47">
        <v>46</v>
      </c>
      <c r="D47" t="str">
        <f t="shared" si="1"/>
        <v>0-18</v>
      </c>
      <c r="E47" t="s">
        <v>259</v>
      </c>
      <c r="F47" t="s">
        <v>8</v>
      </c>
      <c r="G47" t="s">
        <v>37</v>
      </c>
      <c r="H47" s="7">
        <v>44955</v>
      </c>
      <c r="I47" s="7">
        <v>44962</v>
      </c>
      <c r="J47" s="2">
        <v>26958.42</v>
      </c>
      <c r="K47" t="s">
        <v>268</v>
      </c>
    </row>
    <row r="48" spans="1:11" x14ac:dyDescent="0.25">
      <c r="A48" t="s">
        <v>137</v>
      </c>
      <c r="B48">
        <v>47</v>
      </c>
      <c r="C48">
        <v>48</v>
      </c>
      <c r="D48" t="str">
        <f t="shared" si="1"/>
        <v>36-55</v>
      </c>
      <c r="E48" t="s">
        <v>258</v>
      </c>
      <c r="F48" t="s">
        <v>8</v>
      </c>
      <c r="G48" t="s">
        <v>45</v>
      </c>
      <c r="H48" s="7">
        <v>45251</v>
      </c>
      <c r="I48" s="7">
        <v>45258</v>
      </c>
      <c r="J48" s="2">
        <v>24199.17</v>
      </c>
      <c r="K48" t="s">
        <v>268</v>
      </c>
    </row>
    <row r="49" spans="1:11" x14ac:dyDescent="0.25">
      <c r="A49" t="s">
        <v>21</v>
      </c>
      <c r="B49">
        <v>48</v>
      </c>
      <c r="D49" t="str">
        <f t="shared" si="1"/>
        <v>0-18</v>
      </c>
      <c r="E49" t="s">
        <v>259</v>
      </c>
      <c r="F49" t="s">
        <v>8</v>
      </c>
      <c r="G49" t="s">
        <v>257</v>
      </c>
      <c r="H49" s="7">
        <v>44942</v>
      </c>
      <c r="I49" s="7">
        <v>44946</v>
      </c>
      <c r="J49" s="2">
        <v>2356.3000000000002</v>
      </c>
      <c r="K49" t="s">
        <v>268</v>
      </c>
    </row>
    <row r="50" spans="1:11" x14ac:dyDescent="0.25">
      <c r="A50" t="s">
        <v>146</v>
      </c>
      <c r="B50">
        <v>49</v>
      </c>
      <c r="C50">
        <v>24</v>
      </c>
      <c r="D50" t="str">
        <f t="shared" si="1"/>
        <v>19-35</v>
      </c>
      <c r="E50" t="s">
        <v>258</v>
      </c>
      <c r="F50" t="s">
        <v>8</v>
      </c>
      <c r="G50" t="s">
        <v>45</v>
      </c>
      <c r="H50" s="7">
        <v>45279</v>
      </c>
      <c r="I50" s="7">
        <v>45283</v>
      </c>
      <c r="J50" s="2"/>
      <c r="K50" t="s">
        <v>267</v>
      </c>
    </row>
    <row r="51" spans="1:11" x14ac:dyDescent="0.25">
      <c r="A51" t="s">
        <v>35</v>
      </c>
      <c r="B51">
        <v>50</v>
      </c>
      <c r="C51">
        <v>51</v>
      </c>
      <c r="D51" t="str">
        <f t="shared" si="1"/>
        <v>36-55</v>
      </c>
      <c r="E51" t="s">
        <v>258</v>
      </c>
      <c r="F51" t="s">
        <v>29</v>
      </c>
      <c r="G51" t="s">
        <v>37</v>
      </c>
      <c r="H51" s="7">
        <v>45097</v>
      </c>
      <c r="I51" s="7">
        <v>45099</v>
      </c>
      <c r="J51" s="2"/>
      <c r="K51" t="s">
        <v>267</v>
      </c>
    </row>
    <row r="52" spans="1:11" x14ac:dyDescent="0.25">
      <c r="A52" t="s">
        <v>151</v>
      </c>
      <c r="B52">
        <v>51</v>
      </c>
      <c r="C52">
        <v>66</v>
      </c>
      <c r="D52" t="str">
        <f t="shared" si="1"/>
        <v>56+</v>
      </c>
      <c r="E52" t="s">
        <v>258</v>
      </c>
      <c r="F52" t="s">
        <v>29</v>
      </c>
      <c r="G52" t="s">
        <v>14</v>
      </c>
      <c r="H52" s="7">
        <v>44971</v>
      </c>
      <c r="I52" s="7">
        <v>44976</v>
      </c>
      <c r="J52" s="2"/>
      <c r="K52" t="s">
        <v>267</v>
      </c>
    </row>
    <row r="53" spans="1:11" x14ac:dyDescent="0.25">
      <c r="A53" t="s">
        <v>63</v>
      </c>
      <c r="B53">
        <v>52</v>
      </c>
      <c r="D53" t="str">
        <f t="shared" si="1"/>
        <v>0-18</v>
      </c>
      <c r="E53" t="s">
        <v>259</v>
      </c>
      <c r="F53" t="s">
        <v>8</v>
      </c>
      <c r="G53" t="s">
        <v>257</v>
      </c>
      <c r="H53" s="7">
        <v>45225</v>
      </c>
      <c r="I53" s="7">
        <v>45234</v>
      </c>
      <c r="J53" s="2"/>
      <c r="K53" t="s">
        <v>267</v>
      </c>
    </row>
    <row r="54" spans="1:11" x14ac:dyDescent="0.25">
      <c r="A54" t="s">
        <v>156</v>
      </c>
      <c r="B54">
        <v>53</v>
      </c>
      <c r="C54">
        <v>22</v>
      </c>
      <c r="D54" t="str">
        <f t="shared" si="1"/>
        <v>19-35</v>
      </c>
      <c r="E54" t="s">
        <v>258</v>
      </c>
      <c r="F54" t="s">
        <v>8</v>
      </c>
      <c r="G54" t="s">
        <v>14</v>
      </c>
      <c r="H54" s="7">
        <v>44958</v>
      </c>
      <c r="I54" s="7">
        <v>44964</v>
      </c>
      <c r="J54" s="2"/>
      <c r="K54" t="s">
        <v>267</v>
      </c>
    </row>
    <row r="55" spans="1:11" x14ac:dyDescent="0.25">
      <c r="A55" t="s">
        <v>159</v>
      </c>
      <c r="B55">
        <v>54</v>
      </c>
      <c r="C55">
        <v>5</v>
      </c>
      <c r="D55" t="str">
        <f t="shared" si="1"/>
        <v>0-18</v>
      </c>
      <c r="E55" t="s">
        <v>258</v>
      </c>
      <c r="F55" t="s">
        <v>8</v>
      </c>
      <c r="G55" t="s">
        <v>25</v>
      </c>
      <c r="H55" s="7">
        <v>45230</v>
      </c>
      <c r="I55" s="7">
        <v>45233</v>
      </c>
      <c r="J55" s="2"/>
      <c r="K55" t="s">
        <v>267</v>
      </c>
    </row>
    <row r="56" spans="1:11" x14ac:dyDescent="0.25">
      <c r="A56" t="s">
        <v>162</v>
      </c>
      <c r="B56">
        <v>55</v>
      </c>
      <c r="D56" t="str">
        <f t="shared" si="1"/>
        <v>0-18</v>
      </c>
      <c r="E56" t="s">
        <v>259</v>
      </c>
      <c r="F56" t="s">
        <v>29</v>
      </c>
      <c r="G56" t="s">
        <v>45</v>
      </c>
      <c r="H56" s="7">
        <v>45108</v>
      </c>
      <c r="I56" s="7">
        <v>45112</v>
      </c>
      <c r="J56" s="2">
        <v>42643.49</v>
      </c>
      <c r="K56" t="s">
        <v>268</v>
      </c>
    </row>
    <row r="57" spans="1:11" x14ac:dyDescent="0.25">
      <c r="A57" t="s">
        <v>165</v>
      </c>
      <c r="B57">
        <v>56</v>
      </c>
      <c r="D57" t="str">
        <f t="shared" si="1"/>
        <v>0-18</v>
      </c>
      <c r="E57" t="s">
        <v>259</v>
      </c>
      <c r="F57" t="s">
        <v>29</v>
      </c>
      <c r="G57" t="s">
        <v>37</v>
      </c>
      <c r="H57" s="7">
        <v>45149</v>
      </c>
      <c r="I57" s="7">
        <v>45153</v>
      </c>
      <c r="J57" s="2"/>
      <c r="K57" t="s">
        <v>267</v>
      </c>
    </row>
    <row r="58" spans="1:11" x14ac:dyDescent="0.25">
      <c r="A58" t="s">
        <v>7</v>
      </c>
      <c r="B58">
        <v>57</v>
      </c>
      <c r="C58">
        <v>62</v>
      </c>
      <c r="D58" t="str">
        <f t="shared" si="1"/>
        <v>56+</v>
      </c>
      <c r="E58" t="s">
        <v>258</v>
      </c>
      <c r="F58" t="s">
        <v>29</v>
      </c>
      <c r="G58" t="s">
        <v>37</v>
      </c>
      <c r="H58" s="7">
        <v>44985</v>
      </c>
      <c r="I58" s="7">
        <v>44986</v>
      </c>
      <c r="J58" s="2">
        <v>39034.699999999997</v>
      </c>
      <c r="K58" t="s">
        <v>268</v>
      </c>
    </row>
    <row r="59" spans="1:11" x14ac:dyDescent="0.25">
      <c r="A59" t="s">
        <v>12</v>
      </c>
      <c r="B59">
        <v>58</v>
      </c>
      <c r="D59" t="str">
        <f t="shared" si="1"/>
        <v>0-18</v>
      </c>
      <c r="E59" t="s">
        <v>259</v>
      </c>
      <c r="F59" t="s">
        <v>8</v>
      </c>
      <c r="G59" t="s">
        <v>14</v>
      </c>
      <c r="H59" s="7">
        <v>44951</v>
      </c>
      <c r="I59" s="7">
        <v>44952</v>
      </c>
      <c r="J59" s="2"/>
      <c r="K59" t="s">
        <v>267</v>
      </c>
    </row>
    <row r="60" spans="1:11" x14ac:dyDescent="0.25">
      <c r="A60" t="s">
        <v>105</v>
      </c>
      <c r="B60">
        <v>59</v>
      </c>
      <c r="D60" t="str">
        <f t="shared" si="1"/>
        <v>0-18</v>
      </c>
      <c r="E60" t="s">
        <v>259</v>
      </c>
      <c r="F60" t="s">
        <v>29</v>
      </c>
      <c r="G60" t="s">
        <v>45</v>
      </c>
      <c r="H60" s="7">
        <v>44943</v>
      </c>
      <c r="I60" s="7">
        <v>44953</v>
      </c>
      <c r="J60" s="2"/>
      <c r="K60" t="s">
        <v>267</v>
      </c>
    </row>
    <row r="61" spans="1:11" x14ac:dyDescent="0.25">
      <c r="A61" t="s">
        <v>99</v>
      </c>
      <c r="B61">
        <v>60</v>
      </c>
      <c r="D61" t="str">
        <f t="shared" si="1"/>
        <v>0-18</v>
      </c>
      <c r="E61" t="s">
        <v>259</v>
      </c>
      <c r="F61" t="s">
        <v>8</v>
      </c>
      <c r="G61" t="s">
        <v>45</v>
      </c>
      <c r="H61" s="7">
        <v>45133</v>
      </c>
      <c r="I61" s="7">
        <v>45142</v>
      </c>
      <c r="J61" s="2">
        <v>35337.75</v>
      </c>
      <c r="K61" t="s">
        <v>268</v>
      </c>
    </row>
    <row r="62" spans="1:11" x14ac:dyDescent="0.25">
      <c r="A62" t="s">
        <v>99</v>
      </c>
      <c r="B62">
        <v>61</v>
      </c>
      <c r="D62" t="str">
        <f t="shared" si="1"/>
        <v>0-18</v>
      </c>
      <c r="E62" t="s">
        <v>259</v>
      </c>
      <c r="F62" t="s">
        <v>8</v>
      </c>
      <c r="G62" t="s">
        <v>51</v>
      </c>
      <c r="H62" s="7">
        <v>45171</v>
      </c>
      <c r="I62" s="7">
        <v>45174</v>
      </c>
      <c r="J62" s="2">
        <v>3511.23</v>
      </c>
      <c r="K62" t="s">
        <v>268</v>
      </c>
    </row>
    <row r="63" spans="1:11" x14ac:dyDescent="0.25">
      <c r="A63" t="s">
        <v>151</v>
      </c>
      <c r="B63">
        <v>62</v>
      </c>
      <c r="D63" t="str">
        <f t="shared" si="1"/>
        <v>0-18</v>
      </c>
      <c r="E63" t="s">
        <v>259</v>
      </c>
      <c r="F63" t="s">
        <v>29</v>
      </c>
      <c r="G63" t="s">
        <v>37</v>
      </c>
      <c r="H63" s="7">
        <v>45124</v>
      </c>
      <c r="I63" s="7">
        <v>45134</v>
      </c>
      <c r="J63" s="2"/>
      <c r="K63" t="s">
        <v>267</v>
      </c>
    </row>
    <row r="64" spans="1:11" x14ac:dyDescent="0.25">
      <c r="A64" t="s">
        <v>111</v>
      </c>
      <c r="B64">
        <v>63</v>
      </c>
      <c r="C64">
        <v>68</v>
      </c>
      <c r="D64" t="str">
        <f t="shared" si="1"/>
        <v>56+</v>
      </c>
      <c r="E64" t="s">
        <v>258</v>
      </c>
      <c r="F64" t="s">
        <v>29</v>
      </c>
      <c r="G64" t="s">
        <v>14</v>
      </c>
      <c r="H64" s="7">
        <v>44995</v>
      </c>
      <c r="I64" s="7">
        <v>45004</v>
      </c>
      <c r="J64" s="2">
        <v>9456.41</v>
      </c>
      <c r="K64" t="s">
        <v>268</v>
      </c>
    </row>
    <row r="65" spans="1:11" x14ac:dyDescent="0.25">
      <c r="A65" t="s">
        <v>32</v>
      </c>
      <c r="B65">
        <v>64</v>
      </c>
      <c r="D65" t="str">
        <f t="shared" si="1"/>
        <v>0-18</v>
      </c>
      <c r="E65" t="s">
        <v>259</v>
      </c>
      <c r="F65" t="s">
        <v>8</v>
      </c>
      <c r="G65" t="s">
        <v>37</v>
      </c>
      <c r="H65" s="7">
        <v>45003</v>
      </c>
      <c r="I65" s="7">
        <v>45013</v>
      </c>
      <c r="J65" s="2">
        <v>45295.77</v>
      </c>
      <c r="K65" t="s">
        <v>268</v>
      </c>
    </row>
    <row r="66" spans="1:11" x14ac:dyDescent="0.25">
      <c r="A66" t="s">
        <v>66</v>
      </c>
      <c r="B66">
        <v>65</v>
      </c>
      <c r="D66" t="str">
        <f t="shared" ref="D66:D97" si="2">IF(C66="Missing","Unknown",
IF(C66&lt;=18,"0-18",
IF(C66&lt;=35,"19-35",
IF(C66&lt;=55,"36-55","56+"))))</f>
        <v>0-18</v>
      </c>
      <c r="E66" t="s">
        <v>259</v>
      </c>
      <c r="F66" t="s">
        <v>8</v>
      </c>
      <c r="G66" t="s">
        <v>37</v>
      </c>
      <c r="H66" s="7">
        <v>45215</v>
      </c>
      <c r="I66" s="7">
        <v>45216</v>
      </c>
      <c r="J66" s="2"/>
      <c r="K66" t="s">
        <v>267</v>
      </c>
    </row>
    <row r="67" spans="1:11" x14ac:dyDescent="0.25">
      <c r="A67" t="s">
        <v>54</v>
      </c>
      <c r="B67">
        <v>66</v>
      </c>
      <c r="D67" t="str">
        <f t="shared" si="2"/>
        <v>0-18</v>
      </c>
      <c r="E67" t="s">
        <v>259</v>
      </c>
      <c r="F67" t="s">
        <v>29</v>
      </c>
      <c r="G67" t="s">
        <v>37</v>
      </c>
      <c r="H67" s="7">
        <v>45228</v>
      </c>
      <c r="I67" s="7">
        <v>45237</v>
      </c>
      <c r="J67" s="2"/>
      <c r="K67" t="s">
        <v>267</v>
      </c>
    </row>
    <row r="68" spans="1:11" x14ac:dyDescent="0.25">
      <c r="A68" t="s">
        <v>118</v>
      </c>
      <c r="B68">
        <v>67</v>
      </c>
      <c r="C68">
        <v>45</v>
      </c>
      <c r="D68" t="str">
        <f t="shared" si="2"/>
        <v>36-55</v>
      </c>
      <c r="E68" t="s">
        <v>258</v>
      </c>
      <c r="F68" t="s">
        <v>8</v>
      </c>
      <c r="G68" t="s">
        <v>37</v>
      </c>
      <c r="H68" s="7">
        <v>45085</v>
      </c>
      <c r="I68" s="7">
        <v>45095</v>
      </c>
      <c r="J68" s="2"/>
      <c r="K68" t="s">
        <v>267</v>
      </c>
    </row>
    <row r="69" spans="1:11" x14ac:dyDescent="0.25">
      <c r="A69" t="s">
        <v>159</v>
      </c>
      <c r="B69">
        <v>68</v>
      </c>
      <c r="C69">
        <v>75</v>
      </c>
      <c r="D69" t="str">
        <f t="shared" si="2"/>
        <v>56+</v>
      </c>
      <c r="E69" t="s">
        <v>258</v>
      </c>
      <c r="F69" t="s">
        <v>8</v>
      </c>
      <c r="G69" t="s">
        <v>37</v>
      </c>
      <c r="H69" s="7">
        <v>45189</v>
      </c>
      <c r="I69" s="7">
        <v>45191</v>
      </c>
      <c r="J69" s="2">
        <v>48829.91</v>
      </c>
      <c r="K69" t="s">
        <v>268</v>
      </c>
    </row>
    <row r="70" spans="1:11" x14ac:dyDescent="0.25">
      <c r="A70" t="s">
        <v>146</v>
      </c>
      <c r="B70">
        <v>69</v>
      </c>
      <c r="D70" t="str">
        <f t="shared" si="2"/>
        <v>0-18</v>
      </c>
      <c r="E70" t="s">
        <v>259</v>
      </c>
      <c r="F70" t="s">
        <v>8</v>
      </c>
      <c r="G70" t="s">
        <v>37</v>
      </c>
      <c r="H70" s="7">
        <v>44970</v>
      </c>
      <c r="I70" s="7">
        <v>44971</v>
      </c>
      <c r="J70" s="2"/>
      <c r="K70" t="s">
        <v>267</v>
      </c>
    </row>
    <row r="71" spans="1:11" x14ac:dyDescent="0.25">
      <c r="A71" t="s">
        <v>124</v>
      </c>
      <c r="B71">
        <v>70</v>
      </c>
      <c r="D71" t="str">
        <f t="shared" si="2"/>
        <v>0-18</v>
      </c>
      <c r="E71" t="s">
        <v>259</v>
      </c>
      <c r="F71" t="s">
        <v>29</v>
      </c>
      <c r="G71" t="s">
        <v>257</v>
      </c>
      <c r="H71" s="7">
        <v>45059</v>
      </c>
      <c r="I71" s="7">
        <v>45061</v>
      </c>
      <c r="J71" s="2"/>
      <c r="K71" t="s">
        <v>267</v>
      </c>
    </row>
    <row r="72" spans="1:11" x14ac:dyDescent="0.25">
      <c r="A72" t="s">
        <v>17</v>
      </c>
      <c r="B72">
        <v>71</v>
      </c>
      <c r="D72" t="str">
        <f t="shared" si="2"/>
        <v>0-18</v>
      </c>
      <c r="E72" t="s">
        <v>259</v>
      </c>
      <c r="F72" t="s">
        <v>29</v>
      </c>
      <c r="G72" t="s">
        <v>25</v>
      </c>
      <c r="H72" s="7">
        <v>44981</v>
      </c>
      <c r="I72" s="7">
        <v>44987</v>
      </c>
      <c r="J72" s="2"/>
      <c r="K72" t="s">
        <v>267</v>
      </c>
    </row>
    <row r="73" spans="1:11" x14ac:dyDescent="0.25">
      <c r="A73" t="s">
        <v>40</v>
      </c>
      <c r="B73">
        <v>72</v>
      </c>
      <c r="C73">
        <v>71</v>
      </c>
      <c r="D73" t="str">
        <f t="shared" si="2"/>
        <v>56+</v>
      </c>
      <c r="E73" t="s">
        <v>258</v>
      </c>
      <c r="F73" t="s">
        <v>29</v>
      </c>
      <c r="G73" t="s">
        <v>51</v>
      </c>
      <c r="H73" s="7">
        <v>45223</v>
      </c>
      <c r="I73" s="7">
        <v>45229</v>
      </c>
      <c r="J73" s="2"/>
      <c r="K73" t="s">
        <v>267</v>
      </c>
    </row>
    <row r="74" spans="1:11" x14ac:dyDescent="0.25">
      <c r="A74" t="s">
        <v>197</v>
      </c>
      <c r="B74">
        <v>73</v>
      </c>
      <c r="C74">
        <v>77</v>
      </c>
      <c r="D74" t="str">
        <f t="shared" si="2"/>
        <v>56+</v>
      </c>
      <c r="E74" t="s">
        <v>258</v>
      </c>
      <c r="F74" t="s">
        <v>8</v>
      </c>
      <c r="G74" t="s">
        <v>257</v>
      </c>
      <c r="H74" s="7">
        <v>45158</v>
      </c>
      <c r="I74" s="7">
        <v>45160</v>
      </c>
      <c r="J74" s="2"/>
      <c r="K74" t="s">
        <v>267</v>
      </c>
    </row>
    <row r="75" spans="1:11" x14ac:dyDescent="0.25">
      <c r="A75" t="s">
        <v>137</v>
      </c>
      <c r="B75">
        <v>74</v>
      </c>
      <c r="C75">
        <v>39</v>
      </c>
      <c r="D75" t="str">
        <f t="shared" si="2"/>
        <v>36-55</v>
      </c>
      <c r="E75" t="s">
        <v>258</v>
      </c>
      <c r="F75" t="s">
        <v>8</v>
      </c>
      <c r="G75" t="s">
        <v>51</v>
      </c>
      <c r="H75" s="7">
        <v>45000</v>
      </c>
      <c r="I75" s="7">
        <v>45005</v>
      </c>
      <c r="J75" s="2"/>
      <c r="K75" t="s">
        <v>267</v>
      </c>
    </row>
    <row r="76" spans="1:11" x14ac:dyDescent="0.25">
      <c r="A76" t="s">
        <v>99</v>
      </c>
      <c r="B76">
        <v>75</v>
      </c>
      <c r="D76" t="str">
        <f t="shared" si="2"/>
        <v>0-18</v>
      </c>
      <c r="E76" t="s">
        <v>259</v>
      </c>
      <c r="F76" t="s">
        <v>8</v>
      </c>
      <c r="G76" t="s">
        <v>25</v>
      </c>
      <c r="H76" s="7">
        <v>45185</v>
      </c>
      <c r="I76" s="7">
        <v>45191</v>
      </c>
      <c r="J76" s="2">
        <v>38280</v>
      </c>
      <c r="K76" t="s">
        <v>268</v>
      </c>
    </row>
    <row r="77" spans="1:11" x14ac:dyDescent="0.25">
      <c r="A77" t="s">
        <v>197</v>
      </c>
      <c r="B77">
        <v>76</v>
      </c>
      <c r="C77">
        <v>26</v>
      </c>
      <c r="D77" t="str">
        <f t="shared" si="2"/>
        <v>19-35</v>
      </c>
      <c r="E77" t="s">
        <v>258</v>
      </c>
      <c r="F77" t="s">
        <v>8</v>
      </c>
      <c r="G77" t="s">
        <v>37</v>
      </c>
      <c r="H77" s="7">
        <v>44955</v>
      </c>
      <c r="I77" s="7">
        <v>44962</v>
      </c>
      <c r="J77" s="2"/>
      <c r="K77" t="s">
        <v>267</v>
      </c>
    </row>
    <row r="78" spans="1:11" x14ac:dyDescent="0.25">
      <c r="A78" t="s">
        <v>66</v>
      </c>
      <c r="B78">
        <v>77</v>
      </c>
      <c r="D78" t="str">
        <f t="shared" si="2"/>
        <v>0-18</v>
      </c>
      <c r="E78" t="s">
        <v>259</v>
      </c>
      <c r="F78" t="s">
        <v>8</v>
      </c>
      <c r="G78" t="s">
        <v>51</v>
      </c>
      <c r="H78" s="7">
        <v>45127</v>
      </c>
      <c r="I78" s="7">
        <v>45136</v>
      </c>
      <c r="J78" s="2">
        <v>31318.61</v>
      </c>
      <c r="K78" t="s">
        <v>268</v>
      </c>
    </row>
    <row r="79" spans="1:11" x14ac:dyDescent="0.25">
      <c r="A79" t="s">
        <v>162</v>
      </c>
      <c r="B79">
        <v>78</v>
      </c>
      <c r="D79" t="str">
        <f t="shared" si="2"/>
        <v>0-18</v>
      </c>
      <c r="E79" t="s">
        <v>259</v>
      </c>
      <c r="F79" t="s">
        <v>29</v>
      </c>
      <c r="G79" t="s">
        <v>25</v>
      </c>
      <c r="H79" s="7">
        <v>44956</v>
      </c>
      <c r="I79" s="7">
        <v>44966</v>
      </c>
      <c r="J79" s="2"/>
      <c r="K79" t="s">
        <v>267</v>
      </c>
    </row>
    <row r="80" spans="1:11" x14ac:dyDescent="0.25">
      <c r="A80" t="s">
        <v>7</v>
      </c>
      <c r="B80">
        <v>79</v>
      </c>
      <c r="D80" t="str">
        <f t="shared" si="2"/>
        <v>0-18</v>
      </c>
      <c r="E80" t="s">
        <v>259</v>
      </c>
      <c r="F80" t="s">
        <v>29</v>
      </c>
      <c r="G80" t="s">
        <v>37</v>
      </c>
      <c r="H80" s="7">
        <v>44979</v>
      </c>
      <c r="I80" s="7">
        <v>44983</v>
      </c>
      <c r="J80" s="2"/>
      <c r="K80" t="s">
        <v>267</v>
      </c>
    </row>
    <row r="81" spans="1:11" x14ac:dyDescent="0.25">
      <c r="A81" t="s">
        <v>211</v>
      </c>
      <c r="B81">
        <v>80</v>
      </c>
      <c r="C81">
        <v>47</v>
      </c>
      <c r="D81" t="str">
        <f t="shared" si="2"/>
        <v>36-55</v>
      </c>
      <c r="E81" t="s">
        <v>258</v>
      </c>
      <c r="F81" t="s">
        <v>29</v>
      </c>
      <c r="G81" t="s">
        <v>45</v>
      </c>
      <c r="H81" s="7">
        <v>45138</v>
      </c>
      <c r="I81" s="7">
        <v>45142</v>
      </c>
      <c r="J81" s="2">
        <v>14974.84</v>
      </c>
      <c r="K81" t="s">
        <v>268</v>
      </c>
    </row>
    <row r="82" spans="1:11" x14ac:dyDescent="0.25">
      <c r="A82" t="s">
        <v>75</v>
      </c>
      <c r="B82">
        <v>81</v>
      </c>
      <c r="D82" t="str">
        <f t="shared" si="2"/>
        <v>0-18</v>
      </c>
      <c r="E82" t="s">
        <v>259</v>
      </c>
      <c r="F82" t="s">
        <v>29</v>
      </c>
      <c r="G82" t="s">
        <v>37</v>
      </c>
      <c r="H82" s="7">
        <v>45117</v>
      </c>
      <c r="I82" s="7">
        <v>45122</v>
      </c>
      <c r="J82" s="2">
        <v>19983.060000000001</v>
      </c>
      <c r="K82" t="s">
        <v>268</v>
      </c>
    </row>
    <row r="83" spans="1:11" x14ac:dyDescent="0.25">
      <c r="A83" t="s">
        <v>96</v>
      </c>
      <c r="B83">
        <v>82</v>
      </c>
      <c r="D83" t="str">
        <f t="shared" si="2"/>
        <v>0-18</v>
      </c>
      <c r="E83" t="s">
        <v>259</v>
      </c>
      <c r="F83" t="s">
        <v>8</v>
      </c>
      <c r="G83" t="s">
        <v>51</v>
      </c>
      <c r="H83" s="7">
        <v>45027</v>
      </c>
      <c r="I83" s="7">
        <v>45034</v>
      </c>
      <c r="J83" s="2"/>
      <c r="K83" t="s">
        <v>267</v>
      </c>
    </row>
    <row r="84" spans="1:11" x14ac:dyDescent="0.25">
      <c r="A84" t="s">
        <v>114</v>
      </c>
      <c r="B84">
        <v>83</v>
      </c>
      <c r="D84" t="str">
        <f t="shared" si="2"/>
        <v>0-18</v>
      </c>
      <c r="E84" t="s">
        <v>259</v>
      </c>
      <c r="F84" t="s">
        <v>29</v>
      </c>
      <c r="G84" t="s">
        <v>37</v>
      </c>
      <c r="H84" s="7">
        <v>45164</v>
      </c>
      <c r="I84" s="7">
        <v>45173</v>
      </c>
      <c r="J84" s="2"/>
      <c r="K84" t="s">
        <v>267</v>
      </c>
    </row>
    <row r="85" spans="1:11" x14ac:dyDescent="0.25">
      <c r="A85" t="s">
        <v>86</v>
      </c>
      <c r="B85">
        <v>84</v>
      </c>
      <c r="D85" t="str">
        <f t="shared" si="2"/>
        <v>0-18</v>
      </c>
      <c r="E85" t="s">
        <v>259</v>
      </c>
      <c r="F85" t="s">
        <v>8</v>
      </c>
      <c r="G85" t="s">
        <v>37</v>
      </c>
      <c r="H85" s="7">
        <v>45050</v>
      </c>
      <c r="I85" s="7">
        <v>45060</v>
      </c>
      <c r="J85" s="2"/>
      <c r="K85" t="s">
        <v>267</v>
      </c>
    </row>
    <row r="86" spans="1:11" x14ac:dyDescent="0.25">
      <c r="A86" t="s">
        <v>7</v>
      </c>
      <c r="B86">
        <v>85</v>
      </c>
      <c r="C86">
        <v>47</v>
      </c>
      <c r="D86" t="str">
        <f t="shared" si="2"/>
        <v>36-55</v>
      </c>
      <c r="E86" t="s">
        <v>258</v>
      </c>
      <c r="F86" t="s">
        <v>29</v>
      </c>
      <c r="G86" t="s">
        <v>14</v>
      </c>
      <c r="H86" s="7">
        <v>45008</v>
      </c>
      <c r="I86" s="7">
        <v>45011</v>
      </c>
      <c r="J86" s="2"/>
      <c r="K86" t="s">
        <v>267</v>
      </c>
    </row>
    <row r="87" spans="1:11" x14ac:dyDescent="0.25">
      <c r="A87" t="s">
        <v>7</v>
      </c>
      <c r="B87">
        <v>86</v>
      </c>
      <c r="D87" t="str">
        <f t="shared" si="2"/>
        <v>0-18</v>
      </c>
      <c r="E87" t="s">
        <v>259</v>
      </c>
      <c r="F87" t="s">
        <v>29</v>
      </c>
      <c r="G87" t="s">
        <v>45</v>
      </c>
      <c r="H87" s="7">
        <v>45178</v>
      </c>
      <c r="I87" s="7">
        <v>45180</v>
      </c>
      <c r="J87" s="2">
        <v>9375.59</v>
      </c>
      <c r="K87" t="s">
        <v>268</v>
      </c>
    </row>
    <row r="88" spans="1:11" x14ac:dyDescent="0.25">
      <c r="A88" t="s">
        <v>222</v>
      </c>
      <c r="B88">
        <v>87</v>
      </c>
      <c r="D88" t="str">
        <f t="shared" si="2"/>
        <v>0-18</v>
      </c>
      <c r="E88" t="s">
        <v>259</v>
      </c>
      <c r="F88" t="s">
        <v>8</v>
      </c>
      <c r="G88" t="s">
        <v>25</v>
      </c>
      <c r="H88" s="7">
        <v>45021</v>
      </c>
      <c r="I88" s="7">
        <v>45022</v>
      </c>
      <c r="J88" s="2">
        <v>47546.49</v>
      </c>
      <c r="K88" t="s">
        <v>268</v>
      </c>
    </row>
    <row r="89" spans="1:11" x14ac:dyDescent="0.25">
      <c r="A89" t="s">
        <v>28</v>
      </c>
      <c r="B89">
        <v>88</v>
      </c>
      <c r="D89" t="str">
        <f t="shared" si="2"/>
        <v>0-18</v>
      </c>
      <c r="E89" t="s">
        <v>259</v>
      </c>
      <c r="F89" t="s">
        <v>29</v>
      </c>
      <c r="G89" t="s">
        <v>51</v>
      </c>
      <c r="H89" s="7">
        <v>45108</v>
      </c>
      <c r="I89" s="7">
        <v>45117</v>
      </c>
      <c r="J89" s="2"/>
      <c r="K89" t="s">
        <v>267</v>
      </c>
    </row>
    <row r="90" spans="1:11" x14ac:dyDescent="0.25">
      <c r="A90" t="s">
        <v>78</v>
      </c>
      <c r="B90">
        <v>89</v>
      </c>
      <c r="D90" t="str">
        <f t="shared" si="2"/>
        <v>0-18</v>
      </c>
      <c r="E90" t="s">
        <v>259</v>
      </c>
      <c r="F90" t="s">
        <v>29</v>
      </c>
      <c r="G90" t="s">
        <v>37</v>
      </c>
      <c r="H90" s="7">
        <v>45210</v>
      </c>
      <c r="I90" s="7">
        <v>45215</v>
      </c>
      <c r="J90" s="2"/>
      <c r="K90" t="s">
        <v>267</v>
      </c>
    </row>
    <row r="91" spans="1:11" x14ac:dyDescent="0.25">
      <c r="A91" t="s">
        <v>96</v>
      </c>
      <c r="B91">
        <v>90</v>
      </c>
      <c r="D91" t="str">
        <f t="shared" si="2"/>
        <v>0-18</v>
      </c>
      <c r="E91" t="s">
        <v>259</v>
      </c>
      <c r="F91" t="s">
        <v>8</v>
      </c>
      <c r="G91" t="s">
        <v>51</v>
      </c>
      <c r="H91" s="7">
        <v>45026</v>
      </c>
      <c r="I91" s="7">
        <v>45028</v>
      </c>
      <c r="J91" s="2"/>
      <c r="K91" t="s">
        <v>267</v>
      </c>
    </row>
    <row r="92" spans="1:11" x14ac:dyDescent="0.25">
      <c r="A92" t="s">
        <v>229</v>
      </c>
      <c r="B92">
        <v>91</v>
      </c>
      <c r="D92" t="str">
        <f t="shared" si="2"/>
        <v>0-18</v>
      </c>
      <c r="E92" t="s">
        <v>259</v>
      </c>
      <c r="F92" t="s">
        <v>29</v>
      </c>
      <c r="G92" t="s">
        <v>257</v>
      </c>
      <c r="H92" s="7">
        <v>44948</v>
      </c>
      <c r="I92" s="7">
        <v>44957</v>
      </c>
      <c r="J92" s="2">
        <v>18641.18</v>
      </c>
      <c r="K92" t="s">
        <v>268</v>
      </c>
    </row>
    <row r="93" spans="1:11" x14ac:dyDescent="0.25">
      <c r="A93" t="s">
        <v>229</v>
      </c>
      <c r="B93">
        <v>92</v>
      </c>
      <c r="D93" t="str">
        <f t="shared" si="2"/>
        <v>0-18</v>
      </c>
      <c r="E93" t="s">
        <v>259</v>
      </c>
      <c r="F93" t="s">
        <v>29</v>
      </c>
      <c r="G93" t="s">
        <v>14</v>
      </c>
      <c r="H93" s="7">
        <v>45164</v>
      </c>
      <c r="I93" s="7">
        <v>45168</v>
      </c>
      <c r="J93" s="2">
        <v>25163.48</v>
      </c>
      <c r="K93" t="s">
        <v>268</v>
      </c>
    </row>
    <row r="94" spans="1:11" x14ac:dyDescent="0.25">
      <c r="A94" t="s">
        <v>124</v>
      </c>
      <c r="B94">
        <v>93</v>
      </c>
      <c r="C94">
        <v>53</v>
      </c>
      <c r="D94" t="str">
        <f t="shared" si="2"/>
        <v>36-55</v>
      </c>
      <c r="E94" t="s">
        <v>258</v>
      </c>
      <c r="F94" t="s">
        <v>29</v>
      </c>
      <c r="G94" t="s">
        <v>25</v>
      </c>
      <c r="H94" s="7">
        <v>44971</v>
      </c>
      <c r="I94" s="7">
        <v>44978</v>
      </c>
      <c r="J94" s="2">
        <v>27883.22</v>
      </c>
      <c r="K94" t="s">
        <v>268</v>
      </c>
    </row>
    <row r="95" spans="1:11" x14ac:dyDescent="0.25">
      <c r="A95" t="s">
        <v>72</v>
      </c>
      <c r="B95">
        <v>94</v>
      </c>
      <c r="D95" t="str">
        <f t="shared" si="2"/>
        <v>0-18</v>
      </c>
      <c r="E95" t="s">
        <v>259</v>
      </c>
      <c r="F95" t="s">
        <v>29</v>
      </c>
      <c r="G95" t="s">
        <v>257</v>
      </c>
      <c r="H95" s="7">
        <v>44938</v>
      </c>
      <c r="I95" s="7">
        <v>44944</v>
      </c>
      <c r="J95" s="2">
        <v>13276.08</v>
      </c>
      <c r="K95" t="s">
        <v>268</v>
      </c>
    </row>
    <row r="96" spans="1:11" x14ac:dyDescent="0.25">
      <c r="A96" t="s">
        <v>236</v>
      </c>
      <c r="B96">
        <v>95</v>
      </c>
      <c r="D96" t="str">
        <f t="shared" si="2"/>
        <v>0-18</v>
      </c>
      <c r="E96" t="s">
        <v>259</v>
      </c>
      <c r="F96" t="s">
        <v>8</v>
      </c>
      <c r="G96" t="s">
        <v>37</v>
      </c>
      <c r="H96" s="7">
        <v>45027</v>
      </c>
      <c r="I96" s="7">
        <v>45029</v>
      </c>
      <c r="J96" s="2"/>
      <c r="K96" t="s">
        <v>267</v>
      </c>
    </row>
    <row r="97" spans="1:11" x14ac:dyDescent="0.25">
      <c r="A97" t="s">
        <v>28</v>
      </c>
      <c r="B97">
        <v>96</v>
      </c>
      <c r="D97" t="str">
        <f t="shared" si="2"/>
        <v>0-18</v>
      </c>
      <c r="E97" t="s">
        <v>259</v>
      </c>
      <c r="F97" t="s">
        <v>29</v>
      </c>
      <c r="G97" t="s">
        <v>14</v>
      </c>
      <c r="H97" s="7">
        <v>45011</v>
      </c>
      <c r="I97" s="7">
        <v>45014</v>
      </c>
      <c r="J97" s="2">
        <v>41154.46</v>
      </c>
      <c r="K97" t="s">
        <v>268</v>
      </c>
    </row>
    <row r="98" spans="1:11" x14ac:dyDescent="0.25">
      <c r="A98" t="s">
        <v>146</v>
      </c>
      <c r="B98">
        <v>97</v>
      </c>
      <c r="D98" t="str">
        <f t="shared" ref="D98:D102" si="3">IF(C98="Missing","Unknown",
IF(C98&lt;=18,"0-18",
IF(C98&lt;=35,"19-35",
IF(C98&lt;=55,"36-55","56+"))))</f>
        <v>0-18</v>
      </c>
      <c r="E98" t="s">
        <v>259</v>
      </c>
      <c r="F98" t="s">
        <v>8</v>
      </c>
      <c r="G98" t="s">
        <v>257</v>
      </c>
      <c r="H98" s="7">
        <v>44963</v>
      </c>
      <c r="I98" s="7">
        <v>44967</v>
      </c>
      <c r="J98" s="2"/>
      <c r="K98" t="s">
        <v>267</v>
      </c>
    </row>
    <row r="99" spans="1:11" x14ac:dyDescent="0.25">
      <c r="A99" t="s">
        <v>17</v>
      </c>
      <c r="B99">
        <v>98</v>
      </c>
      <c r="D99" t="str">
        <f t="shared" si="3"/>
        <v>0-18</v>
      </c>
      <c r="E99" t="s">
        <v>259</v>
      </c>
      <c r="F99" t="s">
        <v>29</v>
      </c>
      <c r="G99" t="s">
        <v>51</v>
      </c>
      <c r="H99" s="7">
        <v>45169</v>
      </c>
      <c r="I99" s="7">
        <v>45170</v>
      </c>
      <c r="J99" s="2"/>
      <c r="K99" t="s">
        <v>267</v>
      </c>
    </row>
    <row r="100" spans="1:11" x14ac:dyDescent="0.25">
      <c r="A100" t="s">
        <v>72</v>
      </c>
      <c r="B100">
        <v>99</v>
      </c>
      <c r="D100" t="str">
        <f t="shared" si="3"/>
        <v>0-18</v>
      </c>
      <c r="E100" t="s">
        <v>259</v>
      </c>
      <c r="F100" t="s">
        <v>29</v>
      </c>
      <c r="G100" t="s">
        <v>25</v>
      </c>
      <c r="H100" s="7">
        <v>45244</v>
      </c>
      <c r="I100" s="7">
        <v>45250</v>
      </c>
      <c r="J100" s="2"/>
      <c r="K100" t="s">
        <v>267</v>
      </c>
    </row>
    <row r="101" spans="1:11" x14ac:dyDescent="0.25">
      <c r="A101" t="s">
        <v>146</v>
      </c>
      <c r="B101">
        <v>100</v>
      </c>
      <c r="C101">
        <v>2</v>
      </c>
      <c r="D101" t="str">
        <f t="shared" si="3"/>
        <v>0-18</v>
      </c>
      <c r="E101" t="s">
        <v>260</v>
      </c>
      <c r="F101" t="s">
        <v>8</v>
      </c>
      <c r="G101" t="s">
        <v>37</v>
      </c>
      <c r="H101" s="7">
        <v>45025</v>
      </c>
      <c r="I101" s="7">
        <v>45030</v>
      </c>
      <c r="J101" s="2"/>
      <c r="K101" t="s">
        <v>267</v>
      </c>
    </row>
    <row r="102" spans="1:11" x14ac:dyDescent="0.25">
      <c r="D102" t="str">
        <f t="shared" si="3"/>
        <v>0-18</v>
      </c>
      <c r="I102" s="7"/>
      <c r="J102" s="2">
        <v>1042718.9099999999</v>
      </c>
    </row>
    <row r="103" spans="1:11" x14ac:dyDescent="0.25">
      <c r="I103" s="7"/>
      <c r="J103" s="2">
        <f>SUBTOTAL(109,Table1_1[Billing_amount])</f>
        <v>2085437.8199999998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23CB8-96BB-4368-AA4E-EB94CBAE3966}">
  <dimension ref="A2:K99"/>
  <sheetViews>
    <sheetView zoomScale="80" zoomScaleNormal="80" workbookViewId="0">
      <selection activeCell="E95" sqref="E95"/>
    </sheetView>
  </sheetViews>
  <sheetFormatPr defaultRowHeight="15" x14ac:dyDescent="0.25"/>
  <cols>
    <col min="1" max="1" width="18.42578125" bestFit="1" customWidth="1"/>
    <col min="2" max="2" width="21.7109375" bestFit="1" customWidth="1"/>
    <col min="4" max="4" width="14.140625" bestFit="1" customWidth="1"/>
    <col min="5" max="5" width="21.7109375" bestFit="1" customWidth="1"/>
    <col min="6" max="6" width="9.140625" bestFit="1" customWidth="1"/>
    <col min="7" max="7" width="13.140625" bestFit="1" customWidth="1"/>
    <col min="8" max="8" width="8" bestFit="1" customWidth="1"/>
    <col min="9" max="9" width="8.140625" bestFit="1" customWidth="1"/>
    <col min="10" max="10" width="9.5703125" bestFit="1" customWidth="1"/>
    <col min="11" max="11" width="11.5703125" bestFit="1" customWidth="1"/>
  </cols>
  <sheetData>
    <row r="2" spans="1:5" x14ac:dyDescent="0.25">
      <c r="A2" s="5" t="s">
        <v>281</v>
      </c>
      <c r="D2" s="5" t="s">
        <v>282</v>
      </c>
    </row>
    <row r="3" spans="1:5" x14ac:dyDescent="0.25">
      <c r="A3" t="s">
        <v>261</v>
      </c>
      <c r="D3" s="3" t="s">
        <v>263</v>
      </c>
      <c r="E3" t="s">
        <v>261</v>
      </c>
    </row>
    <row r="4" spans="1:5" x14ac:dyDescent="0.25">
      <c r="A4" s="13">
        <v>1042718.9099999999</v>
      </c>
      <c r="D4" s="4" t="s">
        <v>37</v>
      </c>
      <c r="E4" s="2">
        <v>307353.77</v>
      </c>
    </row>
    <row r="5" spans="1:5" x14ac:dyDescent="0.25">
      <c r="D5" s="4" t="s">
        <v>25</v>
      </c>
      <c r="E5" s="2">
        <v>205245.61000000002</v>
      </c>
    </row>
    <row r="6" spans="1:5" x14ac:dyDescent="0.25">
      <c r="A6" s="5" t="s">
        <v>289</v>
      </c>
      <c r="D6" s="4" t="s">
        <v>14</v>
      </c>
      <c r="E6" s="2">
        <v>202756.41</v>
      </c>
    </row>
    <row r="7" spans="1:5" x14ac:dyDescent="0.25">
      <c r="A7" t="s">
        <v>264</v>
      </c>
      <c r="D7" s="4" t="s">
        <v>45</v>
      </c>
      <c r="E7" s="2">
        <v>148284.60999999999</v>
      </c>
    </row>
    <row r="8" spans="1:5" x14ac:dyDescent="0.25">
      <c r="A8" s="14">
        <v>100</v>
      </c>
      <c r="D8" s="4" t="s">
        <v>51</v>
      </c>
      <c r="E8" s="2">
        <v>144804.95000000001</v>
      </c>
    </row>
    <row r="9" spans="1:5" x14ac:dyDescent="0.25">
      <c r="D9" s="4" t="s">
        <v>257</v>
      </c>
      <c r="E9" s="2">
        <v>34273.56</v>
      </c>
    </row>
    <row r="10" spans="1:5" x14ac:dyDescent="0.25">
      <c r="A10" s="5" t="s">
        <v>283</v>
      </c>
      <c r="D10" s="4" t="s">
        <v>262</v>
      </c>
      <c r="E10" s="2">
        <v>1042718.9099999999</v>
      </c>
    </row>
    <row r="11" spans="1:5" x14ac:dyDescent="0.25">
      <c r="A11" s="3" t="s">
        <v>263</v>
      </c>
      <c r="B11" t="s">
        <v>261</v>
      </c>
    </row>
    <row r="12" spans="1:5" x14ac:dyDescent="0.25">
      <c r="A12" s="4" t="s">
        <v>8</v>
      </c>
      <c r="B12" s="11">
        <v>0.51077169972874081</v>
      </c>
    </row>
    <row r="13" spans="1:5" x14ac:dyDescent="0.25">
      <c r="A13" s="4" t="s">
        <v>29</v>
      </c>
      <c r="B13" s="11">
        <v>0.48922830027125919</v>
      </c>
      <c r="D13" s="5" t="s">
        <v>265</v>
      </c>
    </row>
    <row r="14" spans="1:5" x14ac:dyDescent="0.25">
      <c r="D14" s="3" t="s">
        <v>263</v>
      </c>
      <c r="E14" t="s">
        <v>261</v>
      </c>
    </row>
    <row r="15" spans="1:5" x14ac:dyDescent="0.25">
      <c r="D15" s="4" t="s">
        <v>8</v>
      </c>
      <c r="E15" s="2">
        <v>532591.30999999994</v>
      </c>
    </row>
    <row r="16" spans="1:5" x14ac:dyDescent="0.25">
      <c r="D16" s="4" t="s">
        <v>29</v>
      </c>
      <c r="E16" s="2">
        <v>510127.60000000009</v>
      </c>
    </row>
    <row r="17" spans="4:5" x14ac:dyDescent="0.25">
      <c r="D17" s="4" t="s">
        <v>262</v>
      </c>
      <c r="E17" s="2">
        <v>1042718.91</v>
      </c>
    </row>
    <row r="27" spans="4:5" x14ac:dyDescent="0.25">
      <c r="D27" s="5" t="s">
        <v>290</v>
      </c>
    </row>
    <row r="28" spans="4:5" x14ac:dyDescent="0.25">
      <c r="D28" s="15" t="s">
        <v>263</v>
      </c>
      <c r="E28" s="14" t="s">
        <v>264</v>
      </c>
    </row>
    <row r="29" spans="4:5" x14ac:dyDescent="0.25">
      <c r="D29" s="16" t="s">
        <v>268</v>
      </c>
      <c r="E29" s="14">
        <v>37</v>
      </c>
    </row>
    <row r="30" spans="4:5" x14ac:dyDescent="0.25">
      <c r="D30" s="16" t="s">
        <v>267</v>
      </c>
      <c r="E30" s="14">
        <v>63</v>
      </c>
    </row>
    <row r="31" spans="4:5" x14ac:dyDescent="0.25">
      <c r="D31" s="16" t="s">
        <v>262</v>
      </c>
      <c r="E31" s="14">
        <v>100</v>
      </c>
    </row>
    <row r="41" spans="4:5" x14ac:dyDescent="0.25">
      <c r="D41" s="5" t="s">
        <v>291</v>
      </c>
    </row>
    <row r="42" spans="4:5" x14ac:dyDescent="0.25">
      <c r="D42" s="12" t="s">
        <v>263</v>
      </c>
      <c r="E42" s="2" t="s">
        <v>261</v>
      </c>
    </row>
    <row r="43" spans="4:5" x14ac:dyDescent="0.25">
      <c r="D43" s="6" t="s">
        <v>269</v>
      </c>
      <c r="E43" s="2">
        <v>115729.09000000001</v>
      </c>
    </row>
    <row r="44" spans="4:5" x14ac:dyDescent="0.25">
      <c r="D44" s="6" t="s">
        <v>270</v>
      </c>
      <c r="E44" s="2">
        <v>66917.919999999998</v>
      </c>
    </row>
    <row r="45" spans="4:5" x14ac:dyDescent="0.25">
      <c r="D45" s="6" t="s">
        <v>271</v>
      </c>
      <c r="E45" s="2">
        <v>220262.16999999998</v>
      </c>
    </row>
    <row r="46" spans="4:5" x14ac:dyDescent="0.25">
      <c r="D46" s="6" t="s">
        <v>272</v>
      </c>
      <c r="E46" s="2">
        <v>47546.49</v>
      </c>
    </row>
    <row r="47" spans="4:5" x14ac:dyDescent="0.25">
      <c r="D47" s="6" t="s">
        <v>273</v>
      </c>
      <c r="E47" s="2">
        <v>13591.42</v>
      </c>
    </row>
    <row r="48" spans="4:5" x14ac:dyDescent="0.25">
      <c r="D48" s="6" t="s">
        <v>274</v>
      </c>
      <c r="E48" s="2"/>
    </row>
    <row r="49" spans="4:5" x14ac:dyDescent="0.25">
      <c r="D49" s="6" t="s">
        <v>275</v>
      </c>
      <c r="E49" s="2">
        <v>210498.56999999998</v>
      </c>
    </row>
    <row r="50" spans="4:5" x14ac:dyDescent="0.25">
      <c r="D50" s="6" t="s">
        <v>276</v>
      </c>
      <c r="E50" s="2">
        <v>42165.49</v>
      </c>
    </row>
    <row r="51" spans="4:5" x14ac:dyDescent="0.25">
      <c r="D51" s="6" t="s">
        <v>280</v>
      </c>
      <c r="E51" s="2">
        <v>128492.03</v>
      </c>
    </row>
    <row r="52" spans="4:5" x14ac:dyDescent="0.25">
      <c r="D52" s="6" t="s">
        <v>277</v>
      </c>
      <c r="E52" s="2">
        <v>109512.28000000001</v>
      </c>
    </row>
    <row r="53" spans="4:5" x14ac:dyDescent="0.25">
      <c r="D53" s="6" t="s">
        <v>278</v>
      </c>
      <c r="E53" s="2">
        <v>66249.679999999993</v>
      </c>
    </row>
    <row r="54" spans="4:5" x14ac:dyDescent="0.25">
      <c r="D54" s="6" t="s">
        <v>279</v>
      </c>
      <c r="E54" s="2">
        <v>21753.77</v>
      </c>
    </row>
    <row r="55" spans="4:5" x14ac:dyDescent="0.25">
      <c r="D55" s="6" t="s">
        <v>262</v>
      </c>
      <c r="E55" s="2">
        <v>1042718.9099999999</v>
      </c>
    </row>
    <row r="59" spans="4:5" x14ac:dyDescent="0.25">
      <c r="D59" s="5" t="s">
        <v>292</v>
      </c>
    </row>
    <row r="60" spans="4:5" x14ac:dyDescent="0.25">
      <c r="D60" s="12" t="s">
        <v>263</v>
      </c>
      <c r="E60" s="2" t="s">
        <v>261</v>
      </c>
    </row>
    <row r="61" spans="4:5" x14ac:dyDescent="0.25">
      <c r="D61" s="6" t="s">
        <v>269</v>
      </c>
      <c r="E61" s="2">
        <v>88770.67</v>
      </c>
    </row>
    <row r="62" spans="4:5" x14ac:dyDescent="0.25">
      <c r="D62" s="6" t="s">
        <v>270</v>
      </c>
      <c r="E62" s="2">
        <v>54841.64</v>
      </c>
    </row>
    <row r="63" spans="4:5" x14ac:dyDescent="0.25">
      <c r="D63" s="6" t="s">
        <v>271</v>
      </c>
      <c r="E63" s="2">
        <v>213518.36</v>
      </c>
    </row>
    <row r="64" spans="4:5" x14ac:dyDescent="0.25">
      <c r="D64" s="6" t="s">
        <v>272</v>
      </c>
      <c r="E64" s="2">
        <v>93325</v>
      </c>
    </row>
    <row r="65" spans="4:5" x14ac:dyDescent="0.25">
      <c r="D65" s="6" t="s">
        <v>273</v>
      </c>
      <c r="E65" s="2">
        <v>13591.42</v>
      </c>
    </row>
    <row r="66" spans="4:5" x14ac:dyDescent="0.25">
      <c r="D66" s="6" t="s">
        <v>274</v>
      </c>
      <c r="E66" s="2"/>
    </row>
    <row r="67" spans="4:5" x14ac:dyDescent="0.25">
      <c r="D67" s="6" t="s">
        <v>275</v>
      </c>
      <c r="E67" s="2">
        <v>160185.97999999998</v>
      </c>
    </row>
    <row r="68" spans="4:5" x14ac:dyDescent="0.25">
      <c r="D68" s="6" t="s">
        <v>276</v>
      </c>
      <c r="E68" s="2">
        <v>92478.079999999987</v>
      </c>
    </row>
    <row r="69" spans="4:5" x14ac:dyDescent="0.25">
      <c r="D69" s="6" t="s">
        <v>280</v>
      </c>
      <c r="E69" s="2">
        <v>99996.73000000001</v>
      </c>
    </row>
    <row r="70" spans="4:5" x14ac:dyDescent="0.25">
      <c r="D70" s="6" t="s">
        <v>277</v>
      </c>
      <c r="E70" s="2">
        <v>49294.1</v>
      </c>
    </row>
    <row r="71" spans="4:5" x14ac:dyDescent="0.25">
      <c r="D71" s="6" t="s">
        <v>278</v>
      </c>
      <c r="E71" s="2">
        <v>112912.65000000001</v>
      </c>
    </row>
    <row r="72" spans="4:5" x14ac:dyDescent="0.25">
      <c r="D72" s="6" t="s">
        <v>279</v>
      </c>
      <c r="E72" s="2">
        <v>63804.28</v>
      </c>
    </row>
    <row r="73" spans="4:5" x14ac:dyDescent="0.25">
      <c r="D73" s="6" t="s">
        <v>262</v>
      </c>
      <c r="E73" s="2">
        <v>1042718.9099999999</v>
      </c>
    </row>
    <row r="77" spans="4:5" x14ac:dyDescent="0.25">
      <c r="D77" s="5" t="s">
        <v>293</v>
      </c>
    </row>
    <row r="78" spans="4:5" x14ac:dyDescent="0.25">
      <c r="D78" s="15" t="s">
        <v>263</v>
      </c>
      <c r="E78" s="14" t="s">
        <v>264</v>
      </c>
    </row>
    <row r="79" spans="4:5" x14ac:dyDescent="0.25">
      <c r="D79" s="16" t="s">
        <v>285</v>
      </c>
      <c r="E79" s="14">
        <v>69</v>
      </c>
    </row>
    <row r="80" spans="4:5" x14ac:dyDescent="0.25">
      <c r="D80" s="16" t="s">
        <v>287</v>
      </c>
      <c r="E80" s="14">
        <v>15</v>
      </c>
    </row>
    <row r="81" spans="4:11" x14ac:dyDescent="0.25">
      <c r="D81" s="16" t="s">
        <v>288</v>
      </c>
      <c r="E81" s="14">
        <v>11</v>
      </c>
    </row>
    <row r="82" spans="4:11" x14ac:dyDescent="0.25">
      <c r="D82" s="16" t="s">
        <v>286</v>
      </c>
      <c r="E82" s="14">
        <v>5</v>
      </c>
    </row>
    <row r="83" spans="4:11" x14ac:dyDescent="0.25">
      <c r="D83" s="16" t="s">
        <v>262</v>
      </c>
      <c r="E83" s="14">
        <v>100</v>
      </c>
    </row>
    <row r="92" spans="4:11" x14ac:dyDescent="0.25">
      <c r="D92" s="5" t="s">
        <v>295</v>
      </c>
    </row>
    <row r="93" spans="4:11" x14ac:dyDescent="0.25">
      <c r="D93" s="15" t="s">
        <v>264</v>
      </c>
      <c r="E93" s="15" t="s">
        <v>294</v>
      </c>
      <c r="F93" s="14"/>
      <c r="G93" s="14"/>
      <c r="H93" s="14"/>
      <c r="I93" s="14"/>
      <c r="J93" s="14"/>
      <c r="K93" s="14"/>
    </row>
    <row r="94" spans="4:11" x14ac:dyDescent="0.25">
      <c r="D94" s="15" t="s">
        <v>263</v>
      </c>
      <c r="E94" s="14" t="s">
        <v>51</v>
      </c>
      <c r="F94" s="14" t="s">
        <v>14</v>
      </c>
      <c r="G94" s="14" t="s">
        <v>25</v>
      </c>
      <c r="H94" s="14" t="s">
        <v>37</v>
      </c>
      <c r="I94" s="14" t="s">
        <v>45</v>
      </c>
      <c r="J94" s="14" t="s">
        <v>257</v>
      </c>
      <c r="K94" s="14" t="s">
        <v>262</v>
      </c>
    </row>
    <row r="95" spans="4:11" x14ac:dyDescent="0.25">
      <c r="D95" s="16" t="s">
        <v>285</v>
      </c>
      <c r="E95" s="14">
        <v>10</v>
      </c>
      <c r="F95" s="14">
        <v>11</v>
      </c>
      <c r="G95" s="14">
        <v>11</v>
      </c>
      <c r="H95" s="14">
        <v>20</v>
      </c>
      <c r="I95" s="14">
        <v>9</v>
      </c>
      <c r="J95" s="14">
        <v>8</v>
      </c>
      <c r="K95" s="14">
        <v>69</v>
      </c>
    </row>
    <row r="96" spans="4:11" x14ac:dyDescent="0.25">
      <c r="D96" s="16" t="s">
        <v>287</v>
      </c>
      <c r="E96" s="14">
        <v>4</v>
      </c>
      <c r="F96" s="14">
        <v>1</v>
      </c>
      <c r="G96" s="14">
        <v>3</v>
      </c>
      <c r="H96" s="14">
        <v>5</v>
      </c>
      <c r="I96" s="14">
        <v>2</v>
      </c>
      <c r="J96" s="14"/>
      <c r="K96" s="14">
        <v>15</v>
      </c>
    </row>
    <row r="97" spans="4:11" x14ac:dyDescent="0.25">
      <c r="D97" s="16" t="s">
        <v>288</v>
      </c>
      <c r="E97" s="14">
        <v>2</v>
      </c>
      <c r="F97" s="14">
        <v>4</v>
      </c>
      <c r="G97" s="14">
        <v>1</v>
      </c>
      <c r="H97" s="14">
        <v>2</v>
      </c>
      <c r="I97" s="14"/>
      <c r="J97" s="14">
        <v>2</v>
      </c>
      <c r="K97" s="14">
        <v>11</v>
      </c>
    </row>
    <row r="98" spans="4:11" x14ac:dyDescent="0.25">
      <c r="D98" s="16" t="s">
        <v>286</v>
      </c>
      <c r="E98" s="14"/>
      <c r="F98" s="14">
        <v>1</v>
      </c>
      <c r="G98" s="14"/>
      <c r="H98" s="14">
        <v>2</v>
      </c>
      <c r="I98" s="14">
        <v>1</v>
      </c>
      <c r="J98" s="14">
        <v>1</v>
      </c>
      <c r="K98" s="14">
        <v>5</v>
      </c>
    </row>
    <row r="99" spans="4:11" x14ac:dyDescent="0.25">
      <c r="D99" s="16" t="s">
        <v>262</v>
      </c>
      <c r="E99" s="14">
        <v>16</v>
      </c>
      <c r="F99" s="14">
        <v>17</v>
      </c>
      <c r="G99" s="14">
        <v>15</v>
      </c>
      <c r="H99" s="14">
        <v>29</v>
      </c>
      <c r="I99" s="14">
        <v>12</v>
      </c>
      <c r="J99" s="14">
        <v>11</v>
      </c>
      <c r="K99" s="14">
        <v>100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C8128-4FD0-4356-A11A-9C6EDB01216E}">
  <dimension ref="C9:V36"/>
  <sheetViews>
    <sheetView showGridLines="0" showRowColHeaders="0" tabSelected="1" zoomScale="67" zoomScaleNormal="67" workbookViewId="0">
      <selection activeCell="AH42" sqref="AH42"/>
    </sheetView>
  </sheetViews>
  <sheetFormatPr defaultRowHeight="15" x14ac:dyDescent="0.25"/>
  <cols>
    <col min="1" max="16384" width="9.140625" style="8"/>
  </cols>
  <sheetData>
    <row r="9" spans="5:7" x14ac:dyDescent="0.25">
      <c r="E9" s="9"/>
      <c r="G9" s="9"/>
    </row>
    <row r="14" spans="5:7" x14ac:dyDescent="0.25">
      <c r="F14" s="9"/>
    </row>
    <row r="18" spans="3:8" x14ac:dyDescent="0.25">
      <c r="H18" s="10"/>
    </row>
    <row r="20" spans="3:8" x14ac:dyDescent="0.25">
      <c r="C20" s="10"/>
    </row>
    <row r="36" spans="22:22" x14ac:dyDescent="0.25">
      <c r="V36" s="8" t="s">
        <v>249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90DF3A-32FD-46AF-AF4A-06E67BFF74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Raw_patient_data</vt:lpstr>
      <vt:lpstr>CLEAN_patient_data</vt:lpstr>
      <vt:lpstr>Official_CLEAN_data_Power_Query</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Princewill Sunnyotalor</cp:lastModifiedBy>
  <dcterms:created xsi:type="dcterms:W3CDTF">2026-04-25T14:21:52Z</dcterms:created>
  <dcterms:modified xsi:type="dcterms:W3CDTF">2026-05-06T10:40:10Z</dcterms:modified>
</cp:coreProperties>
</file>